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EO" sheetId="1" state="visible" r:id="rId1"/>
    <sheet xmlns:r="http://schemas.openxmlformats.org/officeDocument/2006/relationships" name="ENTRADAS SEMRUSH" sheetId="2" state="visible" r:id="rId2"/>
    <sheet xmlns:r="http://schemas.openxmlformats.org/officeDocument/2006/relationships" name="CALENDÁRIO" sheetId="3" state="visible" r:id="rId3"/>
    <sheet xmlns:r="http://schemas.openxmlformats.org/officeDocument/2006/relationships" name="HISTÓRICO" sheetId="4" state="visible" r:id="rId4"/>
    <sheet xmlns:r="http://schemas.openxmlformats.org/officeDocument/2006/relationships" name="LEIA-ME" sheetId="5" state="visible" r:id="rId5"/>
    <sheet xmlns:r="http://schemas.openxmlformats.org/officeDocument/2006/relationships" name="ESTUDO CAMPO 2026-09-05" sheetId="6" state="visible" r:id="rId6"/>
  </sheets>
  <definedNames>
    <definedName name="_xlnm._FilterDatabase" localSheetId="0" hidden="1">'MASTER SEO'!$A$1:$S$13</definedName>
    <definedName name="_xlnm._FilterDatabase" localSheetId="1" hidden="1">'ENTRADAS SEMRUSH'!$A$1:$I$2</definedName>
    <definedName name="_xlnm._FilterDatabase" localSheetId="2" hidden="1">'CALENDÁRIO'!$A$1:$G$13</definedName>
    <definedName name="_xlnm._FilterDatabase" localSheetId="3" hidden="1">'HISTÓRICO'!$A$1:$J$2</definedName>
    <definedName name="_xlnm._FilterDatabase" localSheetId="4" hidden="1">'LEIA-ME'!$A$1:$B$9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CACA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55" customWidth="1" min="4" max="4"/>
    <col width="25" customWidth="1" min="5" max="5"/>
    <col width="14" customWidth="1" min="6" max="6"/>
    <col width="14" customWidth="1" min="7" max="7"/>
    <col width="40" customWidth="1" min="8" max="8"/>
    <col width="40" customWidth="1" min="9" max="9"/>
    <col width="16" customWidth="1" min="10" max="10"/>
    <col width="14" customWidth="1" min="11" max="11"/>
    <col width="22" customWidth="1" min="12" max="12"/>
    <col width="16" customWidth="1" min="13" max="13"/>
    <col width="22" customWidth="1" min="14" max="14"/>
    <col width="16" customWidth="1" min="15" max="15"/>
    <col width="24" customWidth="1" min="16" max="16"/>
    <col width="16" customWidth="1" min="17" max="17"/>
    <col width="18" customWidth="1" min="18" max="18"/>
    <col width="55" customWidth="1" min="19" max="19"/>
  </cols>
  <sheetData>
    <row r="1">
      <c r="A1" s="1" t="inlineStr">
        <is>
          <t>ID</t>
        </is>
      </c>
      <c r="B1" s="1" t="inlineStr">
        <is>
          <t>Grupo / Silo</t>
        </is>
      </c>
      <c r="C1" s="1" t="inlineStr">
        <is>
          <t>Keyword principal</t>
        </is>
      </c>
      <c r="D1" s="1" t="inlineStr">
        <is>
          <t>Variações</t>
        </is>
      </c>
      <c r="E1" s="1" t="inlineStr">
        <is>
          <t>Intenção</t>
        </is>
      </c>
      <c r="F1" s="1" t="inlineStr">
        <is>
          <t>Volume</t>
        </is>
      </c>
      <c r="G1" s="1" t="inlineStr">
        <is>
          <t>Posição atual</t>
        </is>
      </c>
      <c r="H1" s="1" t="inlineStr">
        <is>
          <t>URL atual</t>
        </is>
      </c>
      <c r="I1" s="1" t="inlineStr">
        <is>
          <t>URL dona / alvo</t>
        </is>
      </c>
      <c r="J1" s="1" t="inlineStr">
        <is>
          <t>Decisão</t>
        </is>
      </c>
      <c r="K1" s="1" t="inlineStr">
        <is>
          <t>Prioridade</t>
        </is>
      </c>
      <c r="L1" s="1" t="inlineStr">
        <is>
          <t>Status</t>
        </is>
      </c>
      <c r="M1" s="1" t="inlineStr">
        <is>
          <t>Última alteração</t>
        </is>
      </c>
      <c r="N1" s="1" t="inlineStr">
        <is>
          <t>Tipo de alteração</t>
        </is>
      </c>
      <c r="O1" s="1" t="inlineStr">
        <is>
          <t>Próxima revisão</t>
        </is>
      </c>
      <c r="P1" s="1" t="inlineStr">
        <is>
          <t>Resultado da revisão</t>
        </is>
      </c>
      <c r="Q1" s="1" t="inlineStr">
        <is>
          <t>Posição anterior</t>
        </is>
      </c>
      <c r="R1" s="1" t="inlineStr">
        <is>
          <t>Variação posição</t>
        </is>
      </c>
      <c r="S1" s="1" t="inlineStr">
        <is>
          <t>Observações</t>
        </is>
      </c>
    </row>
    <row r="2">
      <c r="A2" s="2" t="n">
        <v>1</v>
      </c>
      <c r="B2" s="2" t="inlineStr">
        <is>
          <t>Melhor fogão 5 bocas</t>
        </is>
      </c>
      <c r="C2" s="2" t="inlineStr">
        <is>
          <t>melhor fogao 5 bocas</t>
        </is>
      </c>
      <c r="D2" s="2" t="inlineStr">
        <is>
          <t>melhores fogoes 5 bocas; melhores fogoes de 5 bocas; melhor fogão de 5 bocas; qual é o melhor fogao de 5 bocas; qual melhor fogao 5 bocas; fogão 5 bocas bom</t>
        </is>
      </c>
      <c r="E2" s="2" t="inlineStr">
        <is>
          <t>Investigação comercial</t>
        </is>
      </c>
      <c r="F2" s="2" t="n">
        <v>1000</v>
      </c>
      <c r="G2" s="2" t="n">
        <v>62</v>
      </c>
      <c r="H2" s="2" t="inlineStr">
        <is>
          <t>/melhores-fogoes-5-bocas/</t>
        </is>
      </c>
      <c r="I2" s="2" t="inlineStr">
        <is>
          <t>/melhores-fogoes-5-bocas/</t>
        </is>
      </c>
      <c r="J2" s="2" t="inlineStr">
        <is>
          <t>Otimizar</t>
        </is>
      </c>
      <c r="K2" s="2" t="inlineStr">
        <is>
          <t>Alta</t>
        </is>
      </c>
      <c r="L2" s="2" t="inlineStr">
        <is>
          <t>Em monitoramento</t>
        </is>
      </c>
      <c r="M2" s="4" t="n"/>
      <c r="N2" s="2" t="inlineStr"/>
      <c r="O2" s="4">
        <f>IF(M2="","",M2+28)</f>
        <v/>
      </c>
      <c r="P2" s="2" t="inlineStr"/>
      <c r="Q2" s="2" t="n"/>
      <c r="R2" s="2">
        <f>IF(OR(G2="",Q2=""),"",Q2-G2)</f>
        <v/>
      </c>
      <c r="S2" s="2" t="inlineStr">
        <is>
          <t>Hub/ranking principal.</t>
        </is>
      </c>
    </row>
    <row r="3">
      <c r="A3" s="2" t="n">
        <v>2</v>
      </c>
      <c r="B3" s="2" t="inlineStr">
        <is>
          <t>Fogão 5 bocas custo-benefício</t>
        </is>
      </c>
      <c r="C3" s="2" t="inlineStr">
        <is>
          <t>melhor fogao 5 bocas custo beneficio</t>
        </is>
      </c>
      <c r="D3" s="2" t="inlineStr">
        <is>
          <t>fogao 5 bocas melhor custo beneficio; fogão 5 bocas bom e barato</t>
        </is>
      </c>
      <c r="E3" s="2" t="inlineStr">
        <is>
          <t>Investigação comercial</t>
        </is>
      </c>
      <c r="F3" s="2" t="n">
        <v>140</v>
      </c>
      <c r="G3" s="2" t="n">
        <v>62</v>
      </c>
      <c r="H3" s="2" t="inlineStr">
        <is>
          <t>/fogao-5-bocas-custo-beneficio/</t>
        </is>
      </c>
      <c r="I3" s="2" t="inlineStr">
        <is>
          <t>/fogao-5-bocas-custo-beneficio/</t>
        </is>
      </c>
      <c r="J3" s="2" t="inlineStr">
        <is>
          <t>Acompanhar</t>
        </is>
      </c>
      <c r="K3" s="2" t="inlineStr">
        <is>
          <t>Alta</t>
        </is>
      </c>
      <c r="L3" s="2" t="inlineStr">
        <is>
          <t>Em monitoramento</t>
        </is>
      </c>
      <c r="M3" s="4" t="n"/>
      <c r="N3" s="2" t="inlineStr"/>
      <c r="O3" s="4">
        <f>IF(M3="","",M3+28)</f>
        <v/>
      </c>
      <c r="P3" s="2" t="inlineStr"/>
      <c r="Q3" s="2" t="n"/>
      <c r="R3" s="2">
        <f>IF(OR(G3="",Q3=""),"",Q3-G3)</f>
        <v/>
      </c>
      <c r="S3" s="2" t="inlineStr">
        <is>
          <t>Intenção comercial específica.</t>
        </is>
      </c>
    </row>
    <row r="4">
      <c r="A4" s="2" t="n">
        <v>3</v>
      </c>
      <c r="B4" s="2" t="inlineStr">
        <is>
          <t>Tamanho do fogão 5 bocas</t>
        </is>
      </c>
      <c r="C4" s="2" t="inlineStr">
        <is>
          <t>tamanho do fogao 5 bocas</t>
        </is>
      </c>
      <c r="D4" s="2" t="inlineStr">
        <is>
          <t>tamanho fogão 5 bocas</t>
        </is>
      </c>
      <c r="E4" s="2" t="inlineStr">
        <is>
          <t>Informacional</t>
        </is>
      </c>
      <c r="F4" s="2" t="n">
        <v>90</v>
      </c>
      <c r="G4" s="2" t="n">
        <v>31</v>
      </c>
      <c r="H4" s="2" t="inlineStr">
        <is>
          <t>/melhores-fogoes-5-bocas/</t>
        </is>
      </c>
      <c r="I4" s="2" t="inlineStr">
        <is>
          <t>/melhores-fogoes-5-bocas/</t>
        </is>
      </c>
      <c r="J4" s="2" t="inlineStr">
        <is>
          <t>Avaliar</t>
        </is>
      </c>
      <c r="K4" s="2" t="inlineStr">
        <is>
          <t>Média</t>
        </is>
      </c>
      <c r="L4" s="2" t="inlineStr">
        <is>
          <t>Mapeado</t>
        </is>
      </c>
      <c r="M4" s="4" t="n"/>
      <c r="N4" s="2" t="inlineStr"/>
      <c r="O4" s="4">
        <f>IF(M4="","",M4+28)</f>
        <v/>
      </c>
      <c r="P4" s="2" t="inlineStr"/>
      <c r="Q4" s="2" t="n"/>
      <c r="R4" s="2">
        <f>IF(OR(G4="",Q4=""),"",Q4-G4)</f>
        <v/>
      </c>
      <c r="S4" s="2" t="inlineStr">
        <is>
          <t>Avaliar a URL atual antes de criar artigo.</t>
        </is>
      </c>
    </row>
    <row r="5">
      <c r="A5" s="2" t="n">
        <v>4</v>
      </c>
      <c r="B5" s="2" t="inlineStr">
        <is>
          <t>Melhor marca de fogão 5 bocas</t>
        </is>
      </c>
      <c r="C5" s="2" t="inlineStr">
        <is>
          <t>melhor marca de fogão 5 bocas</t>
        </is>
      </c>
      <c r="D5" s="2" t="inlineStr">
        <is>
          <t>qual a melhor marca de fogão 5 bocas; melhores marcas de fogão 5 bocas</t>
        </is>
      </c>
      <c r="E5" s="2" t="inlineStr">
        <is>
          <t>Investigação comercial</t>
        </is>
      </c>
      <c r="F5" s="2" t="n">
        <v>110</v>
      </c>
      <c r="G5" s="2" t="n">
        <v>53</v>
      </c>
      <c r="H5" s="2" t="inlineStr">
        <is>
          <t>/melhores-fogoes-5-bocas/</t>
        </is>
      </c>
      <c r="I5" s="2" t="inlineStr">
        <is>
          <t>/melhores-fogoes-5-bocas/</t>
        </is>
      </c>
      <c r="J5" s="2" t="inlineStr">
        <is>
          <t>Avaliar</t>
        </is>
      </c>
      <c r="K5" s="2" t="inlineStr">
        <is>
          <t>Alta</t>
        </is>
      </c>
      <c r="L5" s="2" t="inlineStr">
        <is>
          <t>Mapeado</t>
        </is>
      </c>
      <c r="M5" s="4" t="n"/>
      <c r="N5" s="2" t="inlineStr"/>
      <c r="O5" s="4">
        <f>IF(M5="","",M5+28)</f>
        <v/>
      </c>
      <c r="P5" s="2" t="inlineStr"/>
      <c r="Q5" s="2" t="n"/>
      <c r="R5" s="2">
        <f>IF(OR(G5="",Q5=""),"",Q5-G5)</f>
        <v/>
      </c>
      <c r="S5" s="2" t="inlineStr">
        <is>
          <t>Verificar arquitetura antes de nova URL.</t>
        </is>
      </c>
    </row>
    <row r="6">
      <c r="A6" s="2" t="n">
        <v>5</v>
      </c>
      <c r="B6" s="2" t="inlineStr">
        <is>
          <t>Fogão Consul é bom</t>
        </is>
      </c>
      <c r="C6" s="2" t="inlineStr">
        <is>
          <t>fogao consul é bom</t>
        </is>
      </c>
      <c r="D6" s="2" t="inlineStr"/>
      <c r="E6" s="2" t="inlineStr">
        <is>
          <t>Investigação comercial</t>
        </is>
      </c>
      <c r="F6" s="2" t="n"/>
      <c r="G6" s="2" t="n"/>
      <c r="H6" s="2" t="inlineStr"/>
      <c r="I6" s="2" t="inlineStr">
        <is>
          <t>/review-fogao-mesa-de-vidro-consul/</t>
        </is>
      </c>
      <c r="J6" s="2" t="inlineStr">
        <is>
          <t>Mapear</t>
        </is>
      </c>
      <c r="K6" s="2" t="inlineStr">
        <is>
          <t>Média</t>
        </is>
      </c>
      <c r="L6" s="2" t="inlineStr">
        <is>
          <t>Mapeado</t>
        </is>
      </c>
      <c r="M6" s="4" t="n"/>
      <c r="N6" s="2" t="inlineStr"/>
      <c r="O6" s="4">
        <f>IF(M6="","",M6+28)</f>
        <v/>
      </c>
      <c r="P6" s="2" t="inlineStr"/>
      <c r="Q6" s="2" t="n"/>
      <c r="R6" s="2">
        <f>IF(OR(G6="",Q6=""),"",Q6-G6)</f>
        <v/>
      </c>
      <c r="S6" s="2" t="inlineStr">
        <is>
          <t>Não confundir com Consul + mesa de vidro.</t>
        </is>
      </c>
    </row>
    <row r="7">
      <c r="A7" s="2" t="n">
        <v>6</v>
      </c>
      <c r="B7" s="2" t="inlineStr">
        <is>
          <t>Fogão Consul mesa de vidro</t>
        </is>
      </c>
      <c r="C7" s="2" t="inlineStr">
        <is>
          <t>fogao consul mesa de vidro</t>
        </is>
      </c>
      <c r="D7" s="2" t="inlineStr"/>
      <c r="E7" s="2" t="inlineStr">
        <is>
          <t>Investigação comercial</t>
        </is>
      </c>
      <c r="F7" s="2" t="n">
        <v>2400</v>
      </c>
      <c r="G7" s="2" t="n">
        <v>24</v>
      </c>
      <c r="H7" s="2" t="inlineStr">
        <is>
          <t>/review-fogao-mesa-de-vidro-consul/</t>
        </is>
      </c>
      <c r="I7" s="2" t="inlineStr">
        <is>
          <t>/review-fogao-mesa-de-vidro-consul/</t>
        </is>
      </c>
      <c r="J7" s="2" t="inlineStr">
        <is>
          <t>Otimizar</t>
        </is>
      </c>
      <c r="K7" s="2" t="inlineStr">
        <is>
          <t>Alta</t>
        </is>
      </c>
      <c r="L7" s="2" t="inlineStr">
        <is>
          <t>Alterado / monitorando</t>
        </is>
      </c>
      <c r="M7" s="4" t="n">
        <v>46267</v>
      </c>
      <c r="N7" s="2" t="inlineStr">
        <is>
          <t>SEO on-page</t>
        </is>
      </c>
      <c r="O7" s="4">
        <f>IF(M7="","",M7+28)</f>
        <v/>
      </c>
      <c r="P7" s="2" t="inlineStr">
        <is>
          <t>Alteração realizada</t>
        </is>
      </c>
      <c r="Q7" s="2" t="n">
        <v>24</v>
      </c>
      <c r="R7" s="2">
        <f>IF(OR(G7="",Q7=""),"",Q7-G7)</f>
        <v/>
      </c>
      <c r="S7" s="2" t="inlineStr">
        <is>
          <t>Aguardar indexação antes de nova intervenção.</t>
        </is>
      </c>
    </row>
    <row r="8">
      <c r="A8" s="2" t="n">
        <v>7</v>
      </c>
      <c r="B8" s="2" t="inlineStr">
        <is>
          <t>Fogão com mesa de vidro</t>
        </is>
      </c>
      <c r="C8" s="2" t="inlineStr">
        <is>
          <t>fogao com mesa de vidro</t>
        </is>
      </c>
      <c r="D8" s="2" t="inlineStr"/>
      <c r="E8" s="2" t="inlineStr">
        <is>
          <t>Investigação comercial</t>
        </is>
      </c>
      <c r="F8" s="2" t="n"/>
      <c r="G8" s="2" t="n"/>
      <c r="H8" s="2" t="inlineStr">
        <is>
          <t>/review-fogao-mesa-de-vidro-consul/</t>
        </is>
      </c>
      <c r="I8" s="2" t="inlineStr">
        <is>
          <t>/melhores-fogoes-mesa-de-vidro/</t>
        </is>
      </c>
      <c r="J8" s="2" t="inlineStr">
        <is>
          <t>Mapear</t>
        </is>
      </c>
      <c r="K8" s="2" t="inlineStr">
        <is>
          <t>Alta</t>
        </is>
      </c>
      <c r="L8" s="2" t="inlineStr">
        <is>
          <t>Mapeado</t>
        </is>
      </c>
      <c r="M8" s="4" t="n"/>
      <c r="N8" s="2" t="inlineStr"/>
      <c r="O8" s="4">
        <f>IF(M8="","",M8+28)</f>
        <v/>
      </c>
      <c r="P8" s="2" t="inlineStr"/>
      <c r="Q8" s="2" t="n"/>
      <c r="R8" s="2">
        <f>IF(OR(G8="",Q8=""),"",Q8-G8)</f>
        <v/>
      </c>
      <c r="S8" s="2" t="inlineStr">
        <is>
          <t>Intenção genérica deve pertencer ao hub.</t>
        </is>
      </c>
    </row>
    <row r="9">
      <c r="A9" s="2" t="n">
        <v>8</v>
      </c>
      <c r="B9" s="2" t="inlineStr">
        <is>
          <t>Mesa de vidro ou inox</t>
        </is>
      </c>
      <c r="C9" s="2" t="inlineStr">
        <is>
          <t>fogão com mesa de vidro ou inox</t>
        </is>
      </c>
      <c r="D9" s="2" t="inlineStr"/>
      <c r="E9" s="2" t="inlineStr">
        <is>
          <t>Informacional / comparação</t>
        </is>
      </c>
      <c r="F9" s="2" t="n"/>
      <c r="G9" s="2" t="n"/>
      <c r="H9" s="2" t="inlineStr"/>
      <c r="I9" s="2" t="inlineStr">
        <is>
          <t>/melhores-fogoes-mesa-de-vidro/</t>
        </is>
      </c>
      <c r="J9" s="2" t="inlineStr">
        <is>
          <t>Mapear</t>
        </is>
      </c>
      <c r="K9" s="2" t="inlineStr">
        <is>
          <t>Média</t>
        </is>
      </c>
      <c r="L9" s="2" t="inlineStr">
        <is>
          <t>Mapeado</t>
        </is>
      </c>
      <c r="M9" s="4" t="n"/>
      <c r="N9" s="2" t="inlineStr"/>
      <c r="O9" s="4">
        <f>IF(M9="","",M9+28)</f>
        <v/>
      </c>
      <c r="P9" s="2" t="inlineStr"/>
      <c r="Q9" s="2" t="n"/>
      <c r="R9" s="2">
        <f>IF(OR(G9="",Q9=""),"",Q9-G9)</f>
        <v/>
      </c>
      <c r="S9" s="2" t="inlineStr">
        <is>
          <t>Decisão comparativa entre materiais.</t>
        </is>
      </c>
    </row>
    <row r="10">
      <c r="A10" s="2" t="n">
        <v>9</v>
      </c>
      <c r="B10" s="2" t="inlineStr">
        <is>
          <t>Fogão 4 bocas custo-benefício</t>
        </is>
      </c>
      <c r="C10" s="2" t="inlineStr">
        <is>
          <t>fogão 4 bocas custo benefício</t>
        </is>
      </c>
      <c r="D10" s="2" t="inlineStr"/>
      <c r="E10" s="2" t="inlineStr">
        <is>
          <t>Investigação comercial</t>
        </is>
      </c>
      <c r="F10" s="2" t="n">
        <v>90</v>
      </c>
      <c r="G10" s="2" t="n">
        <v>46</v>
      </c>
      <c r="H10" s="2" t="inlineStr">
        <is>
          <t>/fogao-4-bocas-custo-beneficio/</t>
        </is>
      </c>
      <c r="I10" s="2" t="inlineStr">
        <is>
          <t>/fogao-4-bocas-custo-beneficio/</t>
        </is>
      </c>
      <c r="J10" s="2" t="inlineStr">
        <is>
          <t>Acompanhar</t>
        </is>
      </c>
      <c r="K10" s="2" t="inlineStr">
        <is>
          <t>Média</t>
        </is>
      </c>
      <c r="L10" s="2" t="inlineStr">
        <is>
          <t>Mapeado</t>
        </is>
      </c>
      <c r="M10" s="4" t="n"/>
      <c r="N10" s="2" t="inlineStr"/>
      <c r="O10" s="4">
        <f>IF(M10="","",M10+28)</f>
        <v/>
      </c>
      <c r="P10" s="2" t="inlineStr"/>
      <c r="Q10" s="2" t="n"/>
      <c r="R10" s="2">
        <f>IF(OR(G10="",Q10=""),"",Q10-G10)</f>
        <v/>
      </c>
      <c r="S10" s="2" t="inlineStr">
        <is>
          <t>Categoria diferente de 5 bocas.</t>
        </is>
      </c>
    </row>
    <row r="11">
      <c r="A11" s="2" t="n">
        <v>10</v>
      </c>
      <c r="B11" s="2" t="inlineStr">
        <is>
          <t>Modelo BFS5NCR</t>
        </is>
      </c>
      <c r="C11" s="2" t="inlineStr">
        <is>
          <t>bfs5ncr</t>
        </is>
      </c>
      <c r="D11" s="2" t="inlineStr"/>
      <c r="E11" s="2" t="inlineStr">
        <is>
          <t>Navegacional</t>
        </is>
      </c>
      <c r="F11" s="2" t="n">
        <v>390</v>
      </c>
      <c r="G11" s="2" t="n">
        <v>35</v>
      </c>
      <c r="H11" s="2" t="inlineStr">
        <is>
          <t>/</t>
        </is>
      </c>
      <c r="I11" s="2" t="inlineStr"/>
      <c r="J11" s="2" t="inlineStr">
        <is>
          <t>Mapear</t>
        </is>
      </c>
      <c r="K11" s="2" t="inlineStr">
        <is>
          <t>Baixa</t>
        </is>
      </c>
      <c r="L11" s="2" t="inlineStr">
        <is>
          <t>Mapeado</t>
        </is>
      </c>
      <c r="M11" s="4" t="n"/>
      <c r="N11" s="2" t="inlineStr"/>
      <c r="O11" s="4">
        <f>IF(M11="","",M11+28)</f>
        <v/>
      </c>
      <c r="P11" s="2" t="inlineStr"/>
      <c r="Q11" s="2" t="n"/>
      <c r="R11" s="2">
        <f>IF(OR(G11="",Q11=""),"",Q11-G11)</f>
        <v/>
      </c>
      <c r="S11" s="2" t="inlineStr">
        <is>
          <t>Busca por código de modelo/SKU.</t>
        </is>
      </c>
    </row>
    <row r="12">
      <c r="A12" s="2" t="n">
        <v>11</v>
      </c>
      <c r="B12" s="2" t="inlineStr">
        <is>
          <t>Comparativo de eletrodomésticos</t>
        </is>
      </c>
      <c r="C12" s="2" t="inlineStr">
        <is>
          <t>comparativo de eletrodomésticos</t>
        </is>
      </c>
      <c r="D12" s="2" t="inlineStr"/>
      <c r="E12" s="2" t="inlineStr">
        <is>
          <t>Informacional / comparação</t>
        </is>
      </c>
      <c r="F12" s="2" t="n">
        <v>170</v>
      </c>
      <c r="G12" s="2" t="n">
        <v>42</v>
      </c>
      <c r="H12" s="2" t="inlineStr">
        <is>
          <t>/</t>
        </is>
      </c>
      <c r="I12" s="2" t="inlineStr"/>
      <c r="J12" s="2" t="inlineStr">
        <is>
          <t>Avaliar</t>
        </is>
      </c>
      <c r="K12" s="2" t="inlineStr">
        <is>
          <t>Baixa</t>
        </is>
      </c>
      <c r="L12" s="2" t="inlineStr">
        <is>
          <t>Mapeado</t>
        </is>
      </c>
      <c r="M12" s="4" t="n"/>
      <c r="N12" s="2" t="inlineStr"/>
      <c r="O12" s="4">
        <f>IF(M12="","",M12+28)</f>
        <v/>
      </c>
      <c r="P12" s="2" t="inlineStr"/>
      <c r="Q12" s="2" t="n"/>
      <c r="R12" s="2">
        <f>IF(OR(G12="",Q12=""),"",Q12-G12)</f>
        <v/>
      </c>
      <c r="S12" s="2" t="inlineStr">
        <is>
          <t>Consulta genérica; não atribuir automaticamente ao silo de fogões.</t>
        </is>
      </c>
    </row>
    <row r="13">
      <c r="A13" s="2" t="n">
        <v>12</v>
      </c>
      <c r="B13" s="2" t="inlineStr">
        <is>
          <t>Eletrodoméstico com melhor avaliação</t>
        </is>
      </c>
      <c r="C13" s="2" t="inlineStr">
        <is>
          <t>eletrodoméstico com melhor avaliação</t>
        </is>
      </c>
      <c r="D13" s="2" t="inlineStr"/>
      <c r="E13" s="2" t="inlineStr">
        <is>
          <t>Investigação comercial</t>
        </is>
      </c>
      <c r="F13" s="2" t="n">
        <v>140</v>
      </c>
      <c r="G13" s="2" t="n">
        <v>39</v>
      </c>
      <c r="H13" s="2" t="inlineStr">
        <is>
          <t>/</t>
        </is>
      </c>
      <c r="I13" s="2" t="inlineStr"/>
      <c r="J13" s="2" t="inlineStr">
        <is>
          <t>Avaliar</t>
        </is>
      </c>
      <c r="K13" s="2" t="inlineStr">
        <is>
          <t>Baixa</t>
        </is>
      </c>
      <c r="L13" s="2" t="inlineStr">
        <is>
          <t>Mapeado</t>
        </is>
      </c>
      <c r="M13" s="4" t="n"/>
      <c r="N13" s="2" t="inlineStr"/>
      <c r="O13" s="4">
        <f>IF(M13="","",M13+28)</f>
        <v/>
      </c>
      <c r="P13" s="2" t="inlineStr"/>
      <c r="Q13" s="2" t="n"/>
      <c r="R13" s="2">
        <f>IF(OR(G13="",Q13=""),"",Q13-G13)</f>
        <v/>
      </c>
      <c r="S13" s="2" t="inlineStr">
        <is>
          <t>Consulta ampla; precisa de contexto.</t>
        </is>
      </c>
    </row>
    <row r="14">
      <c r="A14" s="2" t="n">
        <v>14</v>
      </c>
      <c r="B14" s="2" t="inlineStr">
        <is>
          <t>Mesa de vidro</t>
        </is>
      </c>
      <c r="C14" s="2" t="inlineStr">
        <is>
          <t>como escolher fogão mesa de vidro</t>
        </is>
      </c>
      <c r="D14" s="2" t="inlineStr">
        <is>
          <t>como escolher fogão com mesa de vidro; como escolher fogão de mesa de vidro</t>
        </is>
      </c>
      <c r="E14" s="2" t="inlineStr">
        <is>
          <t>Informacional → investigação comercial</t>
        </is>
      </c>
      <c r="F14" s="2" t="n"/>
      <c r="G14" s="2" t="n"/>
      <c r="H14" s="2" t="n"/>
      <c r="I14" s="2" t="inlineStr">
        <is>
          <t>/como-escolher-fogao-mesa-de-vidro/</t>
        </is>
      </c>
      <c r="J14" s="2" t="inlineStr">
        <is>
          <t>Criar</t>
        </is>
      </c>
      <c r="K14" s="2" t="inlineStr">
        <is>
          <t>Alta</t>
        </is>
      </c>
      <c r="L14" s="2" t="inlineStr">
        <is>
          <t>Planejado</t>
        </is>
      </c>
      <c r="M14" s="5" t="n">
        <v>46270</v>
      </c>
      <c r="N14" s="2" t="inlineStr">
        <is>
          <t>Decisão estratégica — estudo de campo</t>
        </is>
      </c>
      <c r="O14" s="5" t="n">
        <v>46300</v>
      </c>
      <c r="P14" s="2" t="n"/>
      <c r="Q14" s="2" t="n"/>
      <c r="R14" s="2" t="n"/>
      <c r="S14" s="2" t="inlineStr">
        <is>
          <t>Nova URL de satélite de critérios pré-compra. Evidência: cluster mesa de vidro já tem forte aderência no GSC; concorrentes editoriais usam páginas de critérios; SERP apresenta AI Overview, PAA, vídeos, editoriais e produtos. Não usar 'melhor fogão mesa de vidro' como eixo do title/H1 para evitar disputa com o hub.</t>
        </is>
      </c>
    </row>
    <row r="15">
      <c r="A15" s="2" t="n">
        <v>15</v>
      </c>
      <c r="B15" s="2" t="inlineStr">
        <is>
          <t>Mesa de vidro</t>
        </is>
      </c>
      <c r="C15" s="2" t="inlineStr">
        <is>
          <t>fogão mesa de vidro custo benefício</t>
        </is>
      </c>
      <c r="D15" s="2" t="inlineStr">
        <is>
          <t>fogão com mesa de vidro custo benefício; fogão mesa de vidro bom e barato</t>
        </is>
      </c>
      <c r="E15" s="2" t="inlineStr">
        <is>
          <t>Investigação comercial</t>
        </is>
      </c>
      <c r="F15" s="2" t="n"/>
      <c r="G15" s="2" t="n"/>
      <c r="H15" s="2" t="n"/>
      <c r="I15" s="2" t="inlineStr">
        <is>
          <t>/fogao-mesa-de-vidro-custo-beneficio/</t>
        </is>
      </c>
      <c r="J15" s="2" t="inlineStr">
        <is>
          <t>Criar</t>
        </is>
      </c>
      <c r="K15" s="2" t="inlineStr">
        <is>
          <t>Alta</t>
        </is>
      </c>
      <c r="L15" s="2" t="inlineStr">
        <is>
          <t>Planejado</t>
        </is>
      </c>
      <c r="M15" s="5" t="n">
        <v>46270</v>
      </c>
      <c r="N15" s="2" t="inlineStr">
        <is>
          <t>Decisão estratégica — estudo de campo</t>
        </is>
      </c>
      <c r="O15" s="5" t="n">
        <v>46300</v>
      </c>
      <c r="P15" s="2" t="n"/>
      <c r="Q15" s="2" t="n"/>
      <c r="R15" s="2" t="n"/>
      <c r="S15" s="2" t="inlineStr">
        <is>
          <t>Nova URL de satélite de valor. Intenção separada do ranking de mesa de vidro e complementar ao satélite de critérios. Volume específico não foi confirmado no lote; decisão baseada em convergência de arquitetura, concorrentes, SERP e caminho comercial. Title/H1 devem ser de valor, não 'melhor fogão'.</t>
        </is>
      </c>
    </row>
  </sheetData>
  <autoFilter ref="A1:S13"/>
  <conditionalFormatting sqref="O2:O500">
    <cfRule type="expression" priority="1" dxfId="0">
      <formula>AND($O2&lt;&gt;"",$O2&lt;=TODAY(),$L2&lt;&gt;"Concluído")</formula>
    </cfRule>
    <cfRule type="expression" priority="2" dxfId="1">
      <formula>AND($O2&lt;&gt;"",$O2&gt;TODAY(),$O2&lt;=TODAY()+7,$L2&lt;&gt;"Concluído")</formula>
    </cfRule>
  </conditionalFormatting>
  <dataValidations count="3">
    <dataValidation sqref="K2:K500" showDropDown="0" showInputMessage="0" showErrorMessage="0" allowBlank="1" type="list">
      <formula1>"Alta,Média,Baixa"</formula1>
    </dataValidation>
    <dataValidation sqref="L2:L500" showDropDown="0" showInputMessage="0" showErrorMessage="0" allowBlank="1" type="list">
      <formula1>"Mapeado,Planejado,Alterado / monitorando,Em monitoramento,Concluído,Arquivado"</formula1>
    </dataValidation>
    <dataValidation sqref="J2:J500" showDropDown="0" showInputMessage="0" showErrorMessage="0" allowBlank="1" type="list">
      <formula1>"Criar página,Otimizar,Acompanhar,Avaliar,Mapear,Consolidar,Não fazer"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2" customWidth="1" min="4" max="4"/>
    <col width="10" customWidth="1" min="5" max="5"/>
    <col width="24" customWidth="1" min="6" max="6"/>
    <col width="45" customWidth="1" min="7" max="7"/>
    <col width="25" customWidth="1" min="8" max="8"/>
    <col width="60" customWidth="1" min="9" max="9"/>
  </cols>
  <sheetData>
    <row r="1">
      <c r="A1" s="1" t="inlineStr">
        <is>
          <t>Data da exportação</t>
        </is>
      </c>
      <c r="B1" s="1" t="inlineStr">
        <is>
          <t>Keyword</t>
        </is>
      </c>
      <c r="C1" s="1" t="inlineStr">
        <is>
          <t>Posição</t>
        </is>
      </c>
      <c r="D1" s="1" t="inlineStr">
        <is>
          <t>Volume</t>
        </is>
      </c>
      <c r="E1" s="1" t="inlineStr">
        <is>
          <t>KD</t>
        </is>
      </c>
      <c r="F1" s="1" t="inlineStr">
        <is>
          <t>Intenção</t>
        </is>
      </c>
      <c r="G1" s="1" t="inlineStr">
        <is>
          <t>URL</t>
        </is>
      </c>
      <c r="H1" s="1" t="inlineStr">
        <is>
          <t>SERP Features</t>
        </is>
      </c>
      <c r="I1" s="1" t="inlineStr">
        <is>
          <t>Observações</t>
        </is>
      </c>
    </row>
    <row r="2">
      <c r="A2" s="4" t="n">
        <v>46266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Cole novas exportações abaixo; não sobrescreva entradas antigas.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40" customWidth="1" min="4" max="4"/>
    <col width="22" customWidth="1" min="5" max="5"/>
    <col width="18" customWidth="1" min="6" max="6"/>
    <col width="22" customWidth="1" min="7" max="7"/>
  </cols>
  <sheetData>
    <row r="1">
      <c r="A1" s="1" t="inlineStr">
        <is>
          <t>Data da revisão</t>
        </is>
      </c>
      <c r="B1" s="1" t="inlineStr">
        <is>
          <t>ID</t>
        </is>
      </c>
      <c r="C1" s="1" t="inlineStr">
        <is>
          <t>Keyword</t>
        </is>
      </c>
      <c r="D1" s="1" t="inlineStr">
        <is>
          <t>URL dona</t>
        </is>
      </c>
      <c r="E1" s="1" t="inlineStr">
        <is>
          <t>Ação</t>
        </is>
      </c>
      <c r="F1" s="1" t="inlineStr">
        <is>
          <t>Prioridade</t>
        </is>
      </c>
      <c r="G1" s="1" t="inlineStr">
        <is>
          <t>Status</t>
        </is>
      </c>
    </row>
    <row r="2">
      <c r="A2" s="4">
        <f>'MASTER SEO'!O2</f>
        <v/>
      </c>
      <c r="B2" s="2">
        <f>'MASTER SEO'!A2</f>
        <v/>
      </c>
      <c r="C2" s="2">
        <f>'MASTER SEO'!C2</f>
        <v/>
      </c>
      <c r="D2" s="2">
        <f>'MASTER SEO'!I2</f>
        <v/>
      </c>
      <c r="E2" s="2" t="inlineStr">
        <is>
          <t>Revisão programada</t>
        </is>
      </c>
      <c r="F2" s="2">
        <f>'MASTER SEO'!K2</f>
        <v/>
      </c>
      <c r="G2" s="2">
        <f>'MASTER SEO'!L2</f>
        <v/>
      </c>
    </row>
    <row r="3">
      <c r="A3" s="4">
        <f>'MASTER SEO'!O3</f>
        <v/>
      </c>
      <c r="B3" s="2">
        <f>'MASTER SEO'!A3</f>
        <v/>
      </c>
      <c r="C3" s="2">
        <f>'MASTER SEO'!C3</f>
        <v/>
      </c>
      <c r="D3" s="2">
        <f>'MASTER SEO'!I3</f>
        <v/>
      </c>
      <c r="E3" s="2" t="inlineStr">
        <is>
          <t>Revisão programada</t>
        </is>
      </c>
      <c r="F3" s="2">
        <f>'MASTER SEO'!K3</f>
        <v/>
      </c>
      <c r="G3" s="2">
        <f>'MASTER SEO'!L3</f>
        <v/>
      </c>
    </row>
    <row r="4">
      <c r="A4" s="4">
        <f>'MASTER SEO'!O4</f>
        <v/>
      </c>
      <c r="B4" s="2">
        <f>'MASTER SEO'!A4</f>
        <v/>
      </c>
      <c r="C4" s="2">
        <f>'MASTER SEO'!C4</f>
        <v/>
      </c>
      <c r="D4" s="2">
        <f>'MASTER SEO'!I4</f>
        <v/>
      </c>
      <c r="E4" s="2" t="inlineStr">
        <is>
          <t>Revisão programada</t>
        </is>
      </c>
      <c r="F4" s="2">
        <f>'MASTER SEO'!K4</f>
        <v/>
      </c>
      <c r="G4" s="2">
        <f>'MASTER SEO'!L4</f>
        <v/>
      </c>
    </row>
    <row r="5">
      <c r="A5" s="4">
        <f>'MASTER SEO'!O5</f>
        <v/>
      </c>
      <c r="B5" s="2">
        <f>'MASTER SEO'!A5</f>
        <v/>
      </c>
      <c r="C5" s="2">
        <f>'MASTER SEO'!C5</f>
        <v/>
      </c>
      <c r="D5" s="2">
        <f>'MASTER SEO'!I5</f>
        <v/>
      </c>
      <c r="E5" s="2" t="inlineStr">
        <is>
          <t>Revisão programada</t>
        </is>
      </c>
      <c r="F5" s="2">
        <f>'MASTER SEO'!K5</f>
        <v/>
      </c>
      <c r="G5" s="2">
        <f>'MASTER SEO'!L5</f>
        <v/>
      </c>
    </row>
    <row r="6">
      <c r="A6" s="4">
        <f>'MASTER SEO'!O6</f>
        <v/>
      </c>
      <c r="B6" s="2">
        <f>'MASTER SEO'!A6</f>
        <v/>
      </c>
      <c r="C6" s="2">
        <f>'MASTER SEO'!C6</f>
        <v/>
      </c>
      <c r="D6" s="2">
        <f>'MASTER SEO'!I6</f>
        <v/>
      </c>
      <c r="E6" s="2" t="inlineStr">
        <is>
          <t>Revisão programada</t>
        </is>
      </c>
      <c r="F6" s="2">
        <f>'MASTER SEO'!K6</f>
        <v/>
      </c>
      <c r="G6" s="2">
        <f>'MASTER SEO'!L6</f>
        <v/>
      </c>
    </row>
    <row r="7">
      <c r="A7" s="4">
        <f>'MASTER SEO'!O7</f>
        <v/>
      </c>
      <c r="B7" s="2">
        <f>'MASTER SEO'!A7</f>
        <v/>
      </c>
      <c r="C7" s="2">
        <f>'MASTER SEO'!C7</f>
        <v/>
      </c>
      <c r="D7" s="2">
        <f>'MASTER SEO'!I7</f>
        <v/>
      </c>
      <c r="E7" s="2" t="inlineStr">
        <is>
          <t>Revisão programada</t>
        </is>
      </c>
      <c r="F7" s="2">
        <f>'MASTER SEO'!K7</f>
        <v/>
      </c>
      <c r="G7" s="2">
        <f>'MASTER SEO'!L7</f>
        <v/>
      </c>
    </row>
    <row r="8">
      <c r="A8" s="4">
        <f>'MASTER SEO'!O8</f>
        <v/>
      </c>
      <c r="B8" s="2">
        <f>'MASTER SEO'!A8</f>
        <v/>
      </c>
      <c r="C8" s="2">
        <f>'MASTER SEO'!C8</f>
        <v/>
      </c>
      <c r="D8" s="2">
        <f>'MASTER SEO'!I8</f>
        <v/>
      </c>
      <c r="E8" s="2" t="inlineStr">
        <is>
          <t>Revisão programada</t>
        </is>
      </c>
      <c r="F8" s="2">
        <f>'MASTER SEO'!K8</f>
        <v/>
      </c>
      <c r="G8" s="2">
        <f>'MASTER SEO'!L8</f>
        <v/>
      </c>
    </row>
    <row r="9">
      <c r="A9" s="4">
        <f>'MASTER SEO'!O9</f>
        <v/>
      </c>
      <c r="B9" s="2">
        <f>'MASTER SEO'!A9</f>
        <v/>
      </c>
      <c r="C9" s="2">
        <f>'MASTER SEO'!C9</f>
        <v/>
      </c>
      <c r="D9" s="2">
        <f>'MASTER SEO'!I9</f>
        <v/>
      </c>
      <c r="E9" s="2" t="inlineStr">
        <is>
          <t>Revisão programada</t>
        </is>
      </c>
      <c r="F9" s="2">
        <f>'MASTER SEO'!K9</f>
        <v/>
      </c>
      <c r="G9" s="2">
        <f>'MASTER SEO'!L9</f>
        <v/>
      </c>
    </row>
    <row r="10">
      <c r="A10" s="4">
        <f>'MASTER SEO'!O10</f>
        <v/>
      </c>
      <c r="B10" s="2">
        <f>'MASTER SEO'!A10</f>
        <v/>
      </c>
      <c r="C10" s="2">
        <f>'MASTER SEO'!C10</f>
        <v/>
      </c>
      <c r="D10" s="2">
        <f>'MASTER SEO'!I10</f>
        <v/>
      </c>
      <c r="E10" s="2" t="inlineStr">
        <is>
          <t>Revisão programada</t>
        </is>
      </c>
      <c r="F10" s="2">
        <f>'MASTER SEO'!K10</f>
        <v/>
      </c>
      <c r="G10" s="2">
        <f>'MASTER SEO'!L10</f>
        <v/>
      </c>
    </row>
    <row r="11">
      <c r="A11" s="4">
        <f>'MASTER SEO'!O11</f>
        <v/>
      </c>
      <c r="B11" s="2">
        <f>'MASTER SEO'!A11</f>
        <v/>
      </c>
      <c r="C11" s="2">
        <f>'MASTER SEO'!C11</f>
        <v/>
      </c>
      <c r="D11" s="2">
        <f>'MASTER SEO'!I11</f>
        <v/>
      </c>
      <c r="E11" s="2" t="inlineStr">
        <is>
          <t>Revisão programada</t>
        </is>
      </c>
      <c r="F11" s="2">
        <f>'MASTER SEO'!K11</f>
        <v/>
      </c>
      <c r="G11" s="2">
        <f>'MASTER SEO'!L11</f>
        <v/>
      </c>
    </row>
    <row r="12">
      <c r="A12" s="4">
        <f>'MASTER SEO'!O12</f>
        <v/>
      </c>
      <c r="B12" s="2">
        <f>'MASTER SEO'!A12</f>
        <v/>
      </c>
      <c r="C12" s="2">
        <f>'MASTER SEO'!C12</f>
        <v/>
      </c>
      <c r="D12" s="2">
        <f>'MASTER SEO'!I12</f>
        <v/>
      </c>
      <c r="E12" s="2" t="inlineStr">
        <is>
          <t>Revisão programada</t>
        </is>
      </c>
      <c r="F12" s="2">
        <f>'MASTER SEO'!K12</f>
        <v/>
      </c>
      <c r="G12" s="2">
        <f>'MASTER SEO'!L12</f>
        <v/>
      </c>
    </row>
    <row r="13">
      <c r="A13" s="4">
        <f>'MASTER SEO'!O13</f>
        <v/>
      </c>
      <c r="B13" s="2">
        <f>'MASTER SEO'!A13</f>
        <v/>
      </c>
      <c r="C13" s="2">
        <f>'MASTER SEO'!C13</f>
        <v/>
      </c>
      <c r="D13" s="2">
        <f>'MASTER SEO'!I13</f>
        <v/>
      </c>
      <c r="E13" s="2" t="inlineStr">
        <is>
          <t>Revisão programada</t>
        </is>
      </c>
      <c r="F13" s="2">
        <f>'MASTER SEO'!K13</f>
        <v/>
      </c>
      <c r="G13" s="2">
        <f>'MASTER SEO'!L13</f>
        <v/>
      </c>
    </row>
    <row r="14">
      <c r="A14" s="6" t="n">
        <v>46300</v>
      </c>
      <c r="B14" t="n">
        <v>14</v>
      </c>
      <c r="C14" t="inlineStr">
        <is>
          <t>como escolher fogão mesa de vidro</t>
        </is>
      </c>
      <c r="D14" t="inlineStr">
        <is>
          <t>/como-escolher-fogao-mesa-de-vidro/</t>
        </is>
      </c>
      <c r="E14" t="inlineStr">
        <is>
          <t>Revisar após publicação + dados GSC</t>
        </is>
      </c>
      <c r="F14" t="inlineStr">
        <is>
          <t>Alta</t>
        </is>
      </c>
      <c r="G14" t="inlineStr">
        <is>
          <t>Planejado</t>
        </is>
      </c>
    </row>
    <row r="15">
      <c r="A15" s="6" t="n">
        <v>46300</v>
      </c>
      <c r="B15" t="n">
        <v>15</v>
      </c>
      <c r="C15" t="inlineStr">
        <is>
          <t>fogão mesa de vidro custo benefício</t>
        </is>
      </c>
      <c r="D15" t="inlineStr">
        <is>
          <t>/fogao-mesa-de-vidro-custo-beneficio/</t>
        </is>
      </c>
      <c r="E15" t="inlineStr">
        <is>
          <t>Revisar após publicação + dados GSC</t>
        </is>
      </c>
      <c r="F15" t="inlineStr">
        <is>
          <t>Alta</t>
        </is>
      </c>
      <c r="G15" t="inlineStr">
        <is>
          <t>Planejado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5" customWidth="1" min="3" max="3"/>
    <col width="40" customWidth="1" min="4" max="4"/>
    <col width="28" customWidth="1" min="5" max="5"/>
    <col width="16" customWidth="1" min="6" max="6"/>
    <col width="16" customWidth="1" min="7" max="7"/>
    <col width="65" customWidth="1" min="8" max="8"/>
    <col width="28" customWidth="1" min="9" max="9"/>
    <col width="55" customWidth="1" min="10" max="10"/>
  </cols>
  <sheetData>
    <row r="1">
      <c r="A1" s="1" t="inlineStr">
        <is>
          <t>Data</t>
        </is>
      </c>
      <c r="B1" s="1" t="inlineStr">
        <is>
          <t>ID</t>
        </is>
      </c>
      <c r="C1" s="1" t="inlineStr">
        <is>
          <t>Keyword</t>
        </is>
      </c>
      <c r="D1" s="1" t="inlineStr">
        <is>
          <t>URL</t>
        </is>
      </c>
      <c r="E1" s="1" t="inlineStr">
        <is>
          <t>Evento</t>
        </is>
      </c>
      <c r="F1" s="1" t="inlineStr">
        <is>
          <t>Posição antes</t>
        </is>
      </c>
      <c r="G1" s="1" t="inlineStr">
        <is>
          <t>Posição depois</t>
        </is>
      </c>
      <c r="H1" s="1" t="inlineStr">
        <is>
          <t>Alteração realizada</t>
        </is>
      </c>
      <c r="I1" s="1" t="inlineStr">
        <is>
          <t>Resultado</t>
        </is>
      </c>
      <c r="J1" s="1" t="inlineStr">
        <is>
          <t>Observações</t>
        </is>
      </c>
    </row>
    <row r="2">
      <c r="A2" s="4" t="n">
        <v>46267</v>
      </c>
      <c r="B2" s="2" t="n">
        <v>6</v>
      </c>
      <c r="C2" s="2" t="inlineStr">
        <is>
          <t>fogao consul mesa de vidro</t>
        </is>
      </c>
      <c r="D2" s="2" t="inlineStr">
        <is>
          <t>/review-fogao-mesa-de-vidro-consul/</t>
        </is>
      </c>
      <c r="E2" s="2" t="inlineStr">
        <is>
          <t>Otimização SEO on-page</t>
        </is>
      </c>
      <c r="F2" s="2" t="n">
        <v>24</v>
      </c>
      <c r="G2" s="2" t="n">
        <v>24</v>
      </c>
      <c r="H2" s="2" t="inlineStr">
        <is>
          <t>Meta description, abertura, desambiguação, H2s, tabela, FAQ e veredito</t>
        </is>
      </c>
      <c r="I2" s="2" t="inlineStr">
        <is>
          <t>Aguardando nova medição</t>
        </is>
      </c>
      <c r="J2" s="2" t="inlineStr">
        <is>
          <t>Build aprovado; aguardar indexação.</t>
        </is>
      </c>
    </row>
    <row r="3">
      <c r="A3" s="6" t="n">
        <v>46270</v>
      </c>
      <c r="B3" t="n">
        <v>14</v>
      </c>
      <c r="C3" t="inlineStr">
        <is>
          <t>como escolher fogão mesa de vidro</t>
        </is>
      </c>
      <c r="D3" t="inlineStr">
        <is>
          <t>/como-escolher-fogao-mesa-de-vidro/</t>
        </is>
      </c>
      <c r="E3" t="inlineStr">
        <is>
          <t>Decisão estratégica</t>
        </is>
      </c>
      <c r="H3" t="inlineStr">
        <is>
          <t>Incluída no MASTER após cruzamento concorrentes + GSC + SERP</t>
        </is>
      </c>
      <c r="J3" t="inlineStr">
        <is>
          <t>Nova página aprovada para planejamento; volume específico não confirmado no lote.</t>
        </is>
      </c>
    </row>
    <row r="4">
      <c r="A4" s="6" t="n">
        <v>46270</v>
      </c>
      <c r="B4" t="n">
        <v>15</v>
      </c>
      <c r="C4" t="inlineStr">
        <is>
          <t>fogão mesa de vidro custo benefício</t>
        </is>
      </c>
      <c r="D4" t="inlineStr">
        <is>
          <t>/fogao-mesa-de-vidro-custo-beneficio/</t>
        </is>
      </c>
      <c r="E4" t="inlineStr">
        <is>
          <t>Decisão estratégica</t>
        </is>
      </c>
      <c r="H4" t="inlineStr">
        <is>
          <t>Incluída no MASTER após cruzamento concorrentes + GSC + SERP</t>
        </is>
      </c>
      <c r="J4" t="inlineStr">
        <is>
          <t>Nova página aprovada para planejamento; volume específico não confirmado no lote.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OBJETIVO</t>
        </is>
      </c>
      <c r="B1" s="1" t="inlineStr">
        <is>
          <t>Inventário operacional de SEO do Casa Prática Eletro.</t>
        </is>
      </c>
    </row>
    <row r="2">
      <c r="A2" s="2" t="inlineStr">
        <is>
          <t>MASTER SEO</t>
        </is>
      </c>
      <c r="B2" s="2" t="inlineStr">
        <is>
          <t>Estado atual das keywords, URLs, decisões e prioridades.</t>
        </is>
      </c>
    </row>
    <row r="3">
      <c r="A3" s="2" t="inlineStr">
        <is>
          <t>ENTRADAS SEMRUSH</t>
        </is>
      </c>
      <c r="B3" s="2" t="inlineStr">
        <is>
          <t>Local para acrescentar novas exportações sem apagar o histórico.</t>
        </is>
      </c>
    </row>
    <row r="4">
      <c r="A4" s="2" t="inlineStr">
        <is>
          <t>HISTÓRICO</t>
        </is>
      </c>
      <c r="B4" s="2" t="inlineStr">
        <is>
          <t>Registro de alterações, posições antes/depois e resultados.</t>
        </is>
      </c>
    </row>
    <row r="5">
      <c r="A5" s="2" t="inlineStr">
        <is>
          <t>CALENDÁRIO</t>
        </is>
      </c>
      <c r="B5" s="2" t="inlineStr">
        <is>
          <t>Revisões programadas; a próxima revisão é calculada 28 dias após uma alteração.</t>
        </is>
      </c>
    </row>
    <row r="6">
      <c r="A6" s="2" t="inlineStr">
        <is>
          <t>REGRA</t>
        </is>
      </c>
      <c r="B6" s="2" t="inlineStr">
        <is>
          <t>Antes de criar nova página, verificar se uma URL existente pode ser a dona da intenção.</t>
        </is>
      </c>
    </row>
    <row r="7">
      <c r="A7" s="2" t="inlineStr">
        <is>
          <t>FLUXO</t>
        </is>
      </c>
      <c r="B7" s="2" t="inlineStr">
        <is>
          <t>Semrush → Entradas → classificação → Master → ação → Histórico → revisão.</t>
        </is>
      </c>
    </row>
    <row r="8">
      <c r="A8" s="2" t="inlineStr">
        <is>
          <t>CURSOR</t>
        </is>
      </c>
      <c r="B8" s="2" t="inlineStr">
        <is>
          <t>A planilha pode ser colocada no projeto e usada como fonte operacional para análises futuras.</t>
        </is>
      </c>
    </row>
    <row r="9">
      <c r="A9" s="2" t="inlineStr">
        <is>
          <t>DADOS INICIAIS</t>
        </is>
      </c>
      <c r="B9" s="2" t="inlineStr">
        <is>
          <t>São os grupos/intensões já identificados; campos não confirmados permanecem vazios.</t>
        </is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48" customWidth="1" min="3" max="3"/>
    <col width="38" customWidth="1" min="4" max="4"/>
    <col width="12" customWidth="1" min="5" max="5"/>
    <col width="12" customWidth="1" min="6" max="6"/>
  </cols>
  <sheetData>
    <row r="1">
      <c r="A1" s="7" t="inlineStr">
        <is>
          <t>ESTUDO DE CAMPO — DECISÃO DE CONTEÚDO</t>
        </is>
      </c>
      <c r="B1" s="7" t="n"/>
      <c r="C1" s="7" t="n"/>
      <c r="D1" s="7" t="n"/>
      <c r="E1" s="7" t="n"/>
      <c r="F1" s="7" t="n"/>
    </row>
    <row r="2">
      <c r="A2" s="8" t="inlineStr">
        <is>
          <t>Data</t>
        </is>
      </c>
      <c r="B2" s="8" t="inlineStr">
        <is>
          <t>2026-09-05</t>
        </is>
      </c>
      <c r="C2" s="8" t="n"/>
      <c r="D2" s="8" t="n"/>
      <c r="E2" s="8" t="n"/>
      <c r="F2" s="8" t="n"/>
    </row>
    <row r="3">
      <c r="A3" s="8" t="inlineStr">
        <is>
          <t>Objetivo</t>
        </is>
      </c>
      <c r="B3" s="8" t="inlineStr">
        <is>
          <t>Encontrar novas oportunidades com demanda, intenção comercial, encaixe arquitetural e caminho de monetização.</t>
        </is>
      </c>
      <c r="C3" s="8" t="n"/>
      <c r="D3" s="8" t="n"/>
      <c r="E3" s="8" t="n"/>
      <c r="F3" s="8" t="n"/>
    </row>
    <row r="4">
      <c r="A4" s="8" t="n"/>
      <c r="B4" s="8" t="n"/>
      <c r="C4" s="8" t="n"/>
      <c r="D4" s="8" t="n"/>
      <c r="E4" s="8" t="n"/>
      <c r="F4" s="8" t="n"/>
    </row>
    <row r="5">
      <c r="A5" s="9" t="inlineStr">
        <is>
          <t>EVIDÊNCIA</t>
        </is>
      </c>
      <c r="B5" s="9" t="inlineStr">
        <is>
          <t>CONCLUSÃO</t>
        </is>
      </c>
      <c r="C5" s="9" t="inlineStr">
        <is>
          <t>IMPLICAÇÃO</t>
        </is>
      </c>
      <c r="D5" s="9" t="inlineStr">
        <is>
          <t>FONTE</t>
        </is>
      </c>
      <c r="E5" s="9" t="n"/>
      <c r="F5" s="9" t="n"/>
    </row>
    <row r="6">
      <c r="A6" s="8" t="inlineStr">
        <is>
          <t>Concorrente editorial — Melhores Fogões</t>
        </is>
      </c>
      <c r="B6" s="8" t="inlineStr">
        <is>
          <t>Páginas de decisão (4/5 bocas, custo-benefício, cooktops) concentram tráfego estimado e keywords comerciais.</t>
        </is>
      </c>
      <c r="C6" s="8" t="inlineStr">
        <is>
          <t>Modelo editorial de decisão é validado no mercado.</t>
        </is>
      </c>
      <c r="D6" s="8" t="inlineStr">
        <is>
          <t>Export Top Pages 2026-09-04</t>
        </is>
      </c>
      <c r="E6" s="8" t="n"/>
      <c r="F6" s="8" t="n"/>
    </row>
    <row r="7">
      <c r="A7" s="8" t="inlineStr">
        <is>
          <t>Concorrente editorial — Qual Melhor Comprar</t>
        </is>
      </c>
      <c r="B7" s="8" t="inlineStr">
        <is>
          <t>Cluster de fogões aparece em várias intenções: melhor, 4/5 bocas, marca, indução, grill e inox.</t>
        </is>
      </c>
      <c r="C7" s="8" t="inlineStr">
        <is>
          <t>Subintenções são tratadas como caminhos distintos.</t>
        </is>
      </c>
      <c r="D7" s="8" t="inlineStr">
        <is>
          <t>Export Positions 2026-09-04</t>
        </is>
      </c>
      <c r="E7" s="8" t="n"/>
      <c r="F7" s="8" t="n"/>
    </row>
    <row r="8">
      <c r="A8" s="8" t="inlineStr">
        <is>
          <t>Concorrente editorial — Casa dos Eletrodomésticos</t>
        </is>
      </c>
      <c r="B8" s="8" t="inlineStr">
        <is>
          <t>Aparecem páginas específicas para mesa de vidro, medidas, marcas e instalação.</t>
        </is>
      </c>
      <c r="C8" s="8" t="inlineStr">
        <is>
          <t>Critérios pré-compra e dúvidas específicas têm espaço editorial.</t>
        </is>
      </c>
      <c r="D8" s="8" t="inlineStr">
        <is>
          <t>Export Positions 2026-09-04</t>
        </is>
      </c>
      <c r="E8" s="8" t="n"/>
      <c r="F8" s="8" t="n"/>
    </row>
    <row r="9">
      <c r="A9" s="8" t="inlineStr">
        <is>
          <t>GSC Casa Prática — mesa de vidro</t>
        </is>
      </c>
      <c r="B9" s="8" t="inlineStr">
        <is>
          <t>183 impressões posição 18,95; 48/11,54; 42/21,48; 29/12,72; 28/9,71; 19/11,84 em consultas de segurança/cuidados.</t>
        </is>
      </c>
      <c r="C9" s="8" t="inlineStr">
        <is>
          <t>É o cluster com convergência mais forte entre demanda real e arquitetura.</t>
        </is>
      </c>
      <c r="D9" s="8" t="inlineStr">
        <is>
          <t>GSC 3 meses — Consultas/Páginas</t>
        </is>
      </c>
      <c r="E9" s="8" t="n"/>
      <c r="F9" s="8" t="n"/>
    </row>
    <row r="10">
      <c r="A10" s="8" t="inlineStr">
        <is>
          <t>GSC Casa Prática — reviews</t>
        </is>
      </c>
      <c r="B10" s="8" t="inlineStr">
        <is>
          <t>Reviews Consul/Electrolux/Brastemp aparecem em posições aproximadamente 4–8 em várias consultas de SKU.</t>
        </is>
      </c>
      <c r="C10" s="8" t="inlineStr">
        <is>
          <t>Formato review já tem aderência; não é necessário criar uma nova arquitetura comercial.</t>
        </is>
      </c>
      <c r="D10" s="8" t="inlineStr">
        <is>
          <t>GSC 3 meses — Páginas/Consultas</t>
        </is>
      </c>
      <c r="E10" s="8" t="n"/>
      <c r="F10" s="8" t="n"/>
    </row>
    <row r="11">
      <c r="A11" s="8" t="inlineStr">
        <is>
          <t>GSC Casa Prática — 5 bocas</t>
        </is>
      </c>
      <c r="B11" s="8" t="inlineStr">
        <is>
          <t>Variantes de 'melhor fogão 5 bocas' acumulam impressões, mas ficam aproximadamente em posição 60+ e têm conflito histórico de URL.</t>
        </is>
      </c>
      <c r="C11" s="8" t="inlineStr">
        <is>
          <t>Não criar segunda money page; preservar ownership da Home.</t>
        </is>
      </c>
      <c r="D11" s="8" t="inlineStr">
        <is>
          <t>GSC + mapa arquitetural</t>
        </is>
      </c>
      <c r="E11" s="8" t="n"/>
      <c r="F11" s="8" t="n"/>
    </row>
    <row r="12">
      <c r="A12" s="8" t="inlineStr">
        <is>
          <t>SERP — 'como escolher fogão com mesa de vidro'</t>
        </is>
      </c>
      <c r="B12" s="8" t="inlineStr">
        <is>
          <t>AI Overview, vídeos, PAA, editoriais e produtos; intenção informacional→comercial.</t>
        </is>
      </c>
      <c r="C12" s="8" t="inlineStr">
        <is>
          <t>Valida satélite de critérios, sem transformar em novo ranking.</t>
        </is>
      </c>
      <c r="D12" s="8" t="inlineStr">
        <is>
          <t>SERP observada em janela anônima</t>
        </is>
      </c>
      <c r="E12" s="8" t="n"/>
      <c r="F12" s="8" t="n"/>
    </row>
    <row r="13">
      <c r="A13" s="8" t="inlineStr">
        <is>
          <t>SERP — 'fogão com mesa de vidro vale a pena'</t>
        </is>
      </c>
      <c r="B13" s="8" t="inlineStr">
        <is>
          <t>AI Overview, prós/contras, PAA, vídeos, editoriais e produtos; Casa Prática já aparece com comparativo vidro/inox.</t>
        </is>
      </c>
      <c r="C13" s="8" t="inlineStr">
        <is>
          <t>Não criar duplicata de vale a pena/comparativo; usar como jornada.</t>
        </is>
      </c>
      <c r="D13" s="8" t="inlineStr">
        <is>
          <t>SERP observada em janela anônima</t>
        </is>
      </c>
      <c r="E13" s="8" t="n"/>
      <c r="F13" s="8" t="n"/>
    </row>
    <row r="14">
      <c r="A14" s="8" t="inlineStr">
        <is>
          <t>SERP — 'melhor fogão com mesa de vidro'</t>
        </is>
      </c>
      <c r="B14" s="8" t="inlineStr">
        <is>
          <t>Ranking e produtos dominam; hub de mesa de vidro já existe.</t>
        </is>
      </c>
      <c r="C14" s="8" t="inlineStr">
        <is>
          <t>Não criar segundo ranking; fortalecer satélites que alimentem o hub.</t>
        </is>
      </c>
      <c r="D14" s="8" t="inlineStr">
        <is>
          <t>SERP observada em janela anônima</t>
        </is>
      </c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10" t="inlineStr">
        <is>
          <t>DECISÃO FINAL</t>
        </is>
      </c>
      <c r="B16" s="10" t="inlineStr">
        <is>
          <t>URL</t>
        </is>
      </c>
      <c r="C16" s="10" t="inlineStr">
        <is>
          <t>PRIORIDADE</t>
        </is>
      </c>
      <c r="D16" s="10" t="inlineStr">
        <is>
          <t>MOTIVO</t>
        </is>
      </c>
      <c r="E16" s="10" t="n"/>
      <c r="F16" s="10" t="n"/>
    </row>
    <row r="17">
      <c r="A17" s="8" t="inlineStr">
        <is>
          <t>CRIAR</t>
        </is>
      </c>
      <c r="B17" s="8" t="inlineStr">
        <is>
          <t>/como-escolher-fogao-mesa-de-vidro/</t>
        </is>
      </c>
      <c r="C17" s="8" t="inlineStr">
        <is>
          <t>1 — Alta</t>
        </is>
      </c>
      <c r="D17" s="8" t="inlineStr">
        <is>
          <t>Fecha o estágio de critérios pré-compra do cluster mesa de vidro; baixa canibalização se não disputar 'melhor'.</t>
        </is>
      </c>
      <c r="E17" s="8" t="n"/>
      <c r="F17" s="8" t="n"/>
    </row>
    <row r="18">
      <c r="A18" s="8" t="inlineStr">
        <is>
          <t>CRIAR</t>
        </is>
      </c>
      <c r="B18" s="8" t="inlineStr">
        <is>
          <t>/fogao-mesa-de-vidro-custo-beneficio/</t>
        </is>
      </c>
      <c r="C18" s="8" t="inlineStr">
        <is>
          <t>2 — Alta</t>
        </is>
      </c>
      <c r="D18" s="8" t="inlineStr">
        <is>
          <t>Fecha o estágio de valor/preço do cluster; complementar ao satélite de critérios e ao hub.</t>
        </is>
      </c>
      <c r="E18" s="8" t="n"/>
      <c r="F18" s="8" t="n"/>
    </row>
    <row r="19">
      <c r="A19" s="8" t="inlineStr">
        <is>
          <t>NÃO CRIAR AGORA</t>
        </is>
      </c>
      <c r="B19" s="8" t="inlineStr">
        <is>
          <t>Nova página 'melhor fogão 5 bocas'</t>
        </is>
      </c>
      <c r="C19" s="8" t="inlineStr">
        <is>
          <t>Bloqueado</t>
        </is>
      </c>
      <c r="D19" s="8" t="inlineStr">
        <is>
          <t>Home é a dona arquitetural; risco alto de canibalização.</t>
        </is>
      </c>
      <c r="E19" s="8" t="n"/>
      <c r="F19" s="8" t="n"/>
    </row>
    <row r="20">
      <c r="A20" s="8" t="inlineStr">
        <is>
          <t>NÃO CRIAR AGORA</t>
        </is>
      </c>
      <c r="B20" s="8" t="inlineStr">
        <is>
          <t>Nova página 'fogão Consul é bom'</t>
        </is>
      </c>
      <c r="C20" s="8" t="inlineStr">
        <is>
          <t>Bloqueado</t>
        </is>
      </c>
      <c r="D20" s="8" t="inlineStr">
        <is>
          <t>Review Consul mesa de vidro já captura o termo e está em monitoramento.</t>
        </is>
      </c>
      <c r="E20" s="8" t="n"/>
      <c r="F20" s="8" t="n"/>
    </row>
    <row r="21">
      <c r="A21" s="8" t="inlineStr">
        <is>
          <t>NÃO CRIAR AGORA</t>
        </is>
      </c>
      <c r="B21" s="8" t="inlineStr">
        <is>
          <t>Nova página 'melhor fogão mesa de vidro'</t>
        </is>
      </c>
      <c r="C21" s="8" t="inlineStr">
        <is>
          <t>Bloqueado</t>
        </is>
      </c>
      <c r="D21" s="8" t="inlineStr">
        <is>
          <t>Hub já existe; nova URL duplicaria a intenção.</t>
        </is>
      </c>
      <c r="E21" s="8" t="n"/>
      <c r="F2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2026-09-03T00:35:17Z</dcterms:created>
  <dcterms:modified xmlns:dcterms="http://purl.org/dc/terms/" xmlns:xsi="http://www.w3.org/2001/XMLSchema-instance" xsi:type="dcterms:W3CDTF">2026-09-05T23:51:24Z</dcterms:modified>
</cp:coreProperties>
</file>