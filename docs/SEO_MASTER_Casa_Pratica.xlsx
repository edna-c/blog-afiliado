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comments/comment1.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STER SEO" sheetId="1" state="visible" r:id="rId1"/>
    <sheet name="ENTRADAS SEMRUSH" sheetId="2" state="visible" r:id="rId2"/>
    <sheet name="CALENDÁRIO" sheetId="3" state="visible" r:id="rId3"/>
    <sheet name="HISTÓRICO" sheetId="4" state="visible" r:id="rId4"/>
    <sheet name="LEIA-ME" sheetId="5" state="visible" r:id="rId5"/>
  </sheets>
  <definedNames/>
  <calcPr calcId="124519" calcMode="auto" fullCalcOnLoad="1"/>
</workbook>
</file>

<file path=xl/styles.xml><?xml version="1.0" encoding="utf-8"?>
<styleSheet xmlns="http://schemas.openxmlformats.org/spreadsheetml/2006/main">
  <numFmts count="2">
    <numFmt numFmtId="164" formatCode="YYYY-MM-DD"/>
    <numFmt numFmtId="165" formatCode="yyyy-mm-dd h:mm:ss"/>
  </numFmts>
  <fonts count="5">
    <font>
      <name val="Calibri"/>
      <family val="2"/>
      <color theme="1"/>
      <sz val="11"/>
      <scheme val="minor"/>
    </font>
    <font>
      <name val="Calibri"/>
      <b val="1"/>
      <color rgb="00FFFFFF"/>
      <sz val="11"/>
    </font>
    <font>
      <name val="Calibri"/>
      <sz val="11"/>
    </font>
    <font>
      <name val="Calibri"/>
      <i val="1"/>
      <color rgb="006B7280"/>
      <sz val="10"/>
    </font>
    <font>
      <name val="Calibri"/>
      <b val="1"/>
      <sz val="11"/>
    </font>
  </fonts>
  <fills count="3">
    <fill>
      <patternFill/>
    </fill>
    <fill>
      <patternFill patternType="gray125"/>
    </fill>
    <fill>
      <patternFill patternType="solid">
        <fgColor rgb="001F2937"/>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0">
    <xf numFmtId="0" fontId="0" fillId="0" borderId="0" pivotButton="0" quotePrefix="0" xfId="0"/>
    <xf numFmtId="0" fontId="1" fillId="2" borderId="1" applyAlignment="1" pivotButton="0" quotePrefix="0" xfId="0">
      <alignment vertical="center" wrapText="1"/>
    </xf>
    <xf numFmtId="1" fontId="2" fillId="0"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xf numFmtId="0" fontId="3" fillId="0" borderId="0" applyAlignment="1" pivotButton="0" quotePrefix="0" xfId="0">
      <alignment vertical="top" wrapText="1"/>
    </xf>
    <xf numFmtId="0" fontId="4" fillId="0" borderId="1" applyAlignment="1" pivotButton="0" quotePrefix="0" xfId="0">
      <alignment vertical="top" wrapText="1"/>
    </xf>
    <xf numFmtId="165" fontId="2" fillId="0" borderId="1" applyAlignment="1" pivotButton="0" quotePrefix="0" xfId="0">
      <alignment vertical="top" wrapText="1"/>
    </xf>
    <xf numFmtId="165" fontId="0" fillId="0" borderId="0" pivotButton="0" quotePrefix="0" xfId="0"/>
    <xf numFmtId="164" fontId="0" fillId="0" borderId="0" pivotButton="0" quotePrefix="0" xfId="0"/>
  </cellXfs>
  <cellStyles count="1">
    <cellStyle name="Normal" xfId="0" builtinId="0" hidden="0"/>
  </cellStyles>
  <dxfs count="2">
    <dxf>
      <fill>
        <patternFill patternType="solid">
          <fgColor rgb="00FECACA"/>
        </patternFill>
      </fill>
    </dxf>
    <dxf>
      <fill>
        <patternFill patternType="solid">
          <f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Casa Prática Eletro</author>
  </authors>
  <commentList>
    <comment ref="A1" authorId="0" shapeId="0">
      <text>
        <t>Cada nova exportação recebe um ID de lote inédito (ex.: SM-AAAA-MM-DD). Nunca sobrescrever linhas de lotes anteriores.</t>
      </text>
    </comment>
  </commentList>
</comments>
</file>

<file path=xl/tables/table1.xml><?xml version="1.0" encoding="utf-8"?>
<table xmlns="http://schemas.openxmlformats.org/spreadsheetml/2006/main" id="1" name="MasterSEO" displayName="MasterSEO" ref="A1:S14" headerRowCount="1" totalsRowShown="0">
  <autoFilter ref="A1:S14"/>
  <tableColumns count="19">
    <tableColumn id="1" name="ID"/>
    <tableColumn id="2" name="Grupo / Silo"/>
    <tableColumn id="3" name="Keyword principal"/>
    <tableColumn id="4" name="Variações"/>
    <tableColumn id="5" name="Intenção"/>
    <tableColumn id="6" name="Volume"/>
    <tableColumn id="7" name="Posição atual"/>
    <tableColumn id="8" name="URL atual"/>
    <tableColumn id="9" name="URL dona / alvo"/>
    <tableColumn id="10" name="Decisão"/>
    <tableColumn id="11" name="Prioridade"/>
    <tableColumn id="12" name="Status"/>
    <tableColumn id="13" name="Última alteração"/>
    <tableColumn id="14" name="Tipo de alteração"/>
    <tableColumn id="15" name="Próxima revisão">
      <calculatedColumnFormula>IF([Última alteração]="","",[Última alteração]+28)</calculatedColumnFormula>
    </tableColumn>
    <tableColumn id="16" name="Resultado da revisão"/>
    <tableColumn id="17" name="Posição anterior"/>
    <tableColumn id="18" name="Variação posição">
      <calculatedColumnFormula>IF(OR([Posição atual]="",[Posição anterior]=""),"",[Posição anterior]-[Posição atual])</calculatedColumnFormula>
    </tableColumn>
    <tableColumn id="19" name="Observações"/>
  </tableColumns>
  <tableStyleInfo name="TableStyleMedium2" showFirstColumn="0" showLastColumn="0" showRowStripes="1" showColumnStripes="0"/>
</table>
</file>

<file path=xl/tables/table2.xml><?xml version="1.0" encoding="utf-8"?>
<table xmlns="http://schemas.openxmlformats.org/spreadsheetml/2006/main" id="2" name="EntradasSemrush" displayName="EntradasSemrush" ref="A1:J2" headerRowCount="1" totalsRowShown="0">
  <autoFilter ref="A1:J2"/>
  <tableColumns count="10">
    <tableColumn id="1" name="ID do lote"/>
    <tableColumn id="2" name="Data da exportação"/>
    <tableColumn id="3" name="Keyword"/>
    <tableColumn id="4" name="Posição"/>
    <tableColumn id="5" name="Volume"/>
    <tableColumn id="6" name="KD"/>
    <tableColumn id="7" name="Intenção"/>
    <tableColumn id="8" name="URL encontrada pelo Semrush"/>
    <tableColumn id="9" name="SERP Features"/>
    <tableColumn id="10" name="Observações"/>
  </tableColumns>
  <tableStyleInfo name="TableStyleMedium2" showFirstColumn="0" showLastColumn="0" showRowStripes="1" showColumnStripes="0"/>
</table>
</file>

<file path=xl/tables/table3.xml><?xml version="1.0" encoding="utf-8"?>
<table xmlns="http://schemas.openxmlformats.org/spreadsheetml/2006/main" id="3" name="HistoricoAcoes" displayName="HistoricoAcoes" ref="A1:J8" headerRowCount="1" totalsRowShown="0">
  <autoFilter ref="A1:J8"/>
  <tableColumns count="10">
    <tableColumn id="1" name="Data"/>
    <tableColumn id="2" name="ID"/>
    <tableColumn id="3" name="Keyword"/>
    <tableColumn id="4" name="URL"/>
    <tableColumn id="5" name="Evento"/>
    <tableColumn id="6" name="Posição antes"/>
    <tableColumn id="7" name="Posição depois"/>
    <tableColumn id="8" name="Alteração realizada"/>
    <tableColumn id="9" name="Resultado"/>
    <tableColumn id="10" name="Observaçõ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S14"/>
  <sheetViews>
    <sheetView workbookViewId="0">
      <pane ySplit="1" topLeftCell="A2" activePane="bottomLeft" state="frozen"/>
      <selection pane="bottomLeft" activeCell="A1" sqref="A1"/>
    </sheetView>
  </sheetViews>
  <sheetFormatPr baseColWidth="8" defaultRowHeight="15"/>
  <cols>
    <col width="6" customWidth="1" min="1" max="1"/>
    <col width="28" customWidth="1" min="2" max="2"/>
    <col width="32" customWidth="1" min="3" max="3"/>
    <col width="55" customWidth="1" min="4" max="4"/>
    <col width="25" customWidth="1" min="5" max="5"/>
    <col width="10" customWidth="1" min="6" max="6"/>
    <col width="12" customWidth="1" min="7" max="7"/>
    <col width="40" customWidth="1" min="8" max="8"/>
    <col width="40" customWidth="1" min="9" max="9"/>
    <col width="16" customWidth="1" min="10" max="10"/>
    <col width="12" customWidth="1" min="11" max="11"/>
    <col width="22" customWidth="1" min="12" max="12"/>
    <col width="16" customWidth="1" min="13" max="13"/>
    <col width="22" customWidth="1" min="14" max="14"/>
    <col width="16" customWidth="1" min="15" max="15"/>
    <col width="24" customWidth="1" min="16" max="16"/>
    <col width="16" customWidth="1" min="17" max="17"/>
    <col width="18" customWidth="1" min="18" max="18"/>
    <col width="55" customWidth="1" min="19" max="19"/>
  </cols>
  <sheetData>
    <row r="1" ht="22" customHeight="1">
      <c r="A1" s="1" t="inlineStr">
        <is>
          <t>ID</t>
        </is>
      </c>
      <c r="B1" s="1" t="inlineStr">
        <is>
          <t>Grupo / Silo</t>
        </is>
      </c>
      <c r="C1" s="1" t="inlineStr">
        <is>
          <t>Keyword principal</t>
        </is>
      </c>
      <c r="D1" s="1" t="inlineStr">
        <is>
          <t>Variações</t>
        </is>
      </c>
      <c r="E1" s="1" t="inlineStr">
        <is>
          <t>Intenção</t>
        </is>
      </c>
      <c r="F1" s="1" t="inlineStr">
        <is>
          <t>Volume</t>
        </is>
      </c>
      <c r="G1" s="1" t="inlineStr">
        <is>
          <t>Posição atual</t>
        </is>
      </c>
      <c r="H1" s="1" t="inlineStr">
        <is>
          <t>URL atual</t>
        </is>
      </c>
      <c r="I1" s="1" t="inlineStr">
        <is>
          <t>URL dona / alvo</t>
        </is>
      </c>
      <c r="J1" s="1" t="inlineStr">
        <is>
          <t>Decisão</t>
        </is>
      </c>
      <c r="K1" s="1" t="inlineStr">
        <is>
          <t>Prioridade</t>
        </is>
      </c>
      <c r="L1" s="1" t="inlineStr">
        <is>
          <t>Status</t>
        </is>
      </c>
      <c r="M1" s="1" t="inlineStr">
        <is>
          <t>Última alteração</t>
        </is>
      </c>
      <c r="N1" s="1" t="inlineStr">
        <is>
          <t>Tipo de alteração</t>
        </is>
      </c>
      <c r="O1" s="1" t="inlineStr">
        <is>
          <t>Próxima revisão</t>
        </is>
      </c>
      <c r="P1" s="1" t="inlineStr">
        <is>
          <t>Resultado da revisão</t>
        </is>
      </c>
      <c r="Q1" s="1" t="inlineStr">
        <is>
          <t>Posição anterior</t>
        </is>
      </c>
      <c r="R1" s="1" t="inlineStr">
        <is>
          <t>Variação posição</t>
        </is>
      </c>
      <c r="S1" s="1" t="inlineStr">
        <is>
          <t>Observações</t>
        </is>
      </c>
    </row>
    <row r="2">
      <c r="A2" s="2" t="n">
        <v>1</v>
      </c>
      <c r="B2" s="3" t="inlineStr">
        <is>
          <t>Melhor fogão 5 bocas</t>
        </is>
      </c>
      <c r="C2" s="3" t="inlineStr">
        <is>
          <t>melhor fogao 5 bocas</t>
        </is>
      </c>
      <c r="D2" s="3" t="inlineStr">
        <is>
          <t>melhores fogoes 5 bocas; melhores fogoes de 5 bocas; melhor fogão de 5 bocas; qual é o melhor fogao de 5 bocas; qual melhor fogao 5 bocas; fogão 5 bocas bom</t>
        </is>
      </c>
      <c r="E2" s="3" t="inlineStr">
        <is>
          <t>Investigação comercial</t>
        </is>
      </c>
      <c r="F2" s="2" t="n">
        <v>1000</v>
      </c>
      <c r="G2" s="2" t="n">
        <v>62</v>
      </c>
      <c r="H2" s="3" t="inlineStr">
        <is>
          <t>/melhores-fogoes-5-bocas/</t>
        </is>
      </c>
      <c r="I2" s="3" t="inlineStr">
        <is>
          <t>/</t>
        </is>
      </c>
      <c r="J2" s="3" t="inlineStr">
        <is>
          <t>Otimizar</t>
        </is>
      </c>
      <c r="K2" s="3" t="inlineStr">
        <is>
          <t>Alta</t>
        </is>
      </c>
      <c r="L2" s="3" t="inlineStr">
        <is>
          <t>Alterado / monitorando</t>
        </is>
      </c>
      <c r="M2" s="4" t="n">
        <v>46268</v>
      </c>
      <c r="N2" s="3" t="inlineStr">
        <is>
          <t>SEO on-page — Etapa 1</t>
        </is>
      </c>
      <c r="O2" s="4">
        <f>IF([@[Última alteração]]="","",[@[Última alteração]]+28)</f>
        <v/>
      </c>
      <c r="P2" s="3" t="inlineStr">
        <is>
          <t>Alteração realizada</t>
        </is>
      </c>
      <c r="Q2" s="2" t="n">
        <v>62</v>
      </c>
      <c r="R2" s="3">
        <f>IF(OR([@[Posição atual]]="",[@[Posição anterior]]=""),"",[@[Posição anterior]]-[@[Posição atual]])</f>
        <v/>
      </c>
      <c r="S2" s="3" t="inlineStr">
        <is>
          <t>Home consolidada como dona da intenção 'melhor fogão 5 bocas'. Etapa 1 limitada a title + meta description; OG/Twitter derivados. Hub /melhores/melhor-fogao-5-bocas/ permanece 301 → /. Não reabrir o hub por persistência histórica no Semrush. Aguardar recrawl/nova medição antes de nova intervenção.</t>
        </is>
      </c>
    </row>
    <row r="3">
      <c r="A3" s="2" t="n">
        <v>2</v>
      </c>
      <c r="B3" s="3" t="inlineStr">
        <is>
          <t>Fogão 5 bocas custo-benefício</t>
        </is>
      </c>
      <c r="C3" s="3" t="inlineStr">
        <is>
          <t>melhor fogao 5 bocas custo beneficio</t>
        </is>
      </c>
      <c r="D3" s="3" t="inlineStr">
        <is>
          <t>fogao 5 bocas melhor custo beneficio; fogão 5 bocas bom e barato</t>
        </is>
      </c>
      <c r="E3" s="3" t="inlineStr">
        <is>
          <t>Investigação comercial</t>
        </is>
      </c>
      <c r="F3" s="2" t="n">
        <v>140</v>
      </c>
      <c r="G3" s="2" t="n">
        <v>62</v>
      </c>
      <c r="H3" s="3" t="inlineStr">
        <is>
          <t>/fogao-5-bocas-custo-beneficio/</t>
        </is>
      </c>
      <c r="I3" s="3" t="inlineStr">
        <is>
          <t>/fogao-5-bocas-custo-beneficio/</t>
        </is>
      </c>
      <c r="J3" s="3" t="inlineStr">
        <is>
          <t>Otimizar</t>
        </is>
      </c>
      <c r="K3" s="3" t="inlineStr">
        <is>
          <t>Alta</t>
        </is>
      </c>
      <c r="L3" s="3" t="inlineStr">
        <is>
          <t>Alterado / monitorando</t>
        </is>
      </c>
      <c r="M3" s="7" t="n">
        <v>46268</v>
      </c>
      <c r="N3" s="3" t="inlineStr">
        <is>
          <t>SEO on-page — Etapa 1</t>
        </is>
      </c>
      <c r="O3" s="4">
        <f>IF([@[Última alteração]]="","",[@[Última alteração]]+28)</f>
        <v/>
      </c>
      <c r="P3" s="3" t="inlineStr">
        <is>
          <t>Alteração realizada</t>
        </is>
      </c>
      <c r="Q3" s="3" t="n">
        <v>62</v>
      </c>
      <c r="R3" s="3">
        <f>IF(OR([@[Posição atual]]="",[@[Posição anterior]]=""),"",[@[Posição anterior]]-[@[Posição atual]])</f>
        <v/>
      </c>
      <c r="S3" s="3" t="inlineStr">
        <is>
          <t>Etapa 1 — consolidação da intenção custo-benefício/preço-performance. Home permanece dona do ranking geral de melhores fogões 5 bocas. Intervenção limitada a title e meta description. Aguardar recrawl/GSC antes de nova intervenção.</t>
        </is>
      </c>
    </row>
    <row r="4">
      <c r="A4" s="2" t="n">
        <v>3</v>
      </c>
      <c r="B4" s="3" t="inlineStr">
        <is>
          <t>Tamanho do fogão 5 bocas</t>
        </is>
      </c>
      <c r="C4" s="3" t="inlineStr">
        <is>
          <t>tamanho do fogao 5 bocas</t>
        </is>
      </c>
      <c r="D4" s="3" t="inlineStr">
        <is>
          <t>tamanho fogão 5 bocas</t>
        </is>
      </c>
      <c r="E4" s="3" t="inlineStr">
        <is>
          <t>Informacional</t>
        </is>
      </c>
      <c r="F4" s="2" t="n">
        <v>590</v>
      </c>
      <c r="G4" s="2" t="n">
        <v>31</v>
      </c>
      <c r="H4" s="3" t="inlineStr">
        <is>
          <t>/como-escolher-fogao-5-bocas/</t>
        </is>
      </c>
      <c r="I4" s="3" t="inlineStr">
        <is>
          <t>/como-escolher-fogao-5-bocas/</t>
        </is>
      </c>
      <c r="J4" s="3" t="inlineStr">
        <is>
          <t>Otimizar</t>
        </is>
      </c>
      <c r="K4" s="3" t="inlineStr">
        <is>
          <t>Alta</t>
        </is>
      </c>
      <c r="L4" s="3" t="inlineStr">
        <is>
          <t>Alterado / monitorando</t>
        </is>
      </c>
      <c r="M4" s="7" t="n">
        <v>46268</v>
      </c>
      <c r="N4" s="3" t="inlineStr">
        <is>
          <t>SEO on-page — Etapa 1 + conteúdo</t>
        </is>
      </c>
      <c r="O4" s="4">
        <f>IF([@[Última alteração]]="","",[@[Última alteração]]+28)</f>
        <v/>
      </c>
      <c r="P4" s="3" t="inlineStr">
        <is>
          <t>Alteração realizada — aguardando nova medição</t>
        </is>
      </c>
      <c r="Q4" s="3" t="n">
        <v>31</v>
      </c>
      <c r="R4" s="3">
        <f>IF(OR([@[Posição atual]]="",[@[Posição anterior]]=""),"",[@[Posição anterior]]-[@[Posição atual]])</f>
        <v/>
      </c>
      <c r="S4" s="3" t="inlineStr">
        <is>
          <t>Intenção: tamanho fogão 5 bocas (590) + tamanho do fogão 5 bocas (90). Title ajustado para priorizar tamanho/medidas. Meta description com valores típicos (75-80 cm / 60-70 cm / ~90 cm). Resposta direta e tabela de medidas inseridas no step 1. H1 e estrutura preservados. Dados reutilizados do blog /blog/fogao-5-bocas-reduz-espaco-cozinha/. Build 29 págs, exit 0. Sem commit/push/deploy.</t>
        </is>
      </c>
    </row>
    <row r="5">
      <c r="A5" s="2" t="n">
        <v>4</v>
      </c>
      <c r="B5" s="3" t="inlineStr">
        <is>
          <t>Melhor marca de fogão 5 bocas</t>
        </is>
      </c>
      <c r="C5" s="3" t="inlineStr">
        <is>
          <t>melhor marca de fogão 5 bocas</t>
        </is>
      </c>
      <c r="D5" s="3" t="inlineStr">
        <is>
          <t>qual a melhor marca de fogão 5 bocas; melhores marcas de fogão 5 bocas</t>
        </is>
      </c>
      <c r="E5" s="3" t="inlineStr">
        <is>
          <t>Investigação comercial</t>
        </is>
      </c>
      <c r="F5" s="2" t="n">
        <v>110</v>
      </c>
      <c r="G5" s="2" t="n">
        <v>53</v>
      </c>
      <c r="H5" s="3" t="inlineStr">
        <is>
          <t>/melhores-fogoes-5-bocas/</t>
        </is>
      </c>
      <c r="I5" s="3" t="inlineStr">
        <is>
          <t>/melhores-fogoes-5-bocas/</t>
        </is>
      </c>
      <c r="J5" s="3" t="inlineStr">
        <is>
          <t>Avaliar</t>
        </is>
      </c>
      <c r="K5" s="3" t="inlineStr">
        <is>
          <t>Alta</t>
        </is>
      </c>
      <c r="L5" s="3" t="inlineStr">
        <is>
          <t>Mapeado</t>
        </is>
      </c>
      <c r="M5" s="3" t="n"/>
      <c r="N5" s="3" t="n"/>
      <c r="O5" s="4">
        <f>IF([@[Última alteração]]="","",[@[Última alteração]]+28)</f>
        <v/>
      </c>
      <c r="P5" s="3" t="n"/>
      <c r="Q5" s="3" t="n"/>
      <c r="R5" s="3">
        <f>IF(OR([@[Posição atual]]="",[@[Posição anterior]]=""),"",[@[Posição anterior]]-[@[Posição atual]])</f>
        <v/>
      </c>
      <c r="S5" s="3" t="inlineStr">
        <is>
          <t>Verificar arquitetura antes de nova URL.</t>
        </is>
      </c>
    </row>
    <row r="6">
      <c r="A6" s="2" t="n">
        <v>5</v>
      </c>
      <c r="B6" s="3" t="inlineStr">
        <is>
          <t>Fogão Consul é bom</t>
        </is>
      </c>
      <c r="C6" s="3" t="inlineStr">
        <is>
          <t>fogao consul é bom</t>
        </is>
      </c>
      <c r="D6" s="3" t="n"/>
      <c r="E6" s="3" t="inlineStr">
        <is>
          <t>Investigação comercial</t>
        </is>
      </c>
      <c r="F6" s="3" t="n"/>
      <c r="G6" s="3" t="n"/>
      <c r="H6" s="3" t="n"/>
      <c r="I6" s="3" t="inlineStr">
        <is>
          <t>/review-fogao-mesa-de-vidro-consul/</t>
        </is>
      </c>
      <c r="J6" s="3" t="inlineStr">
        <is>
          <t>Mapear</t>
        </is>
      </c>
      <c r="K6" s="3" t="inlineStr">
        <is>
          <t>Média</t>
        </is>
      </c>
      <c r="L6" s="3" t="inlineStr">
        <is>
          <t>Mapeado</t>
        </is>
      </c>
      <c r="M6" s="3" t="n"/>
      <c r="N6" s="3" t="n"/>
      <c r="O6" s="4">
        <f>IF([@[Última alteração]]="","",[@[Última alteração]]+28)</f>
        <v/>
      </c>
      <c r="P6" s="3" t="n"/>
      <c r="Q6" s="3" t="n"/>
      <c r="R6" s="3">
        <f>IF(OR([@[Posição atual]]="",[@[Posição anterior]]=""),"",[@[Posição anterior]]-[@[Posição atual]])</f>
        <v/>
      </c>
      <c r="S6" s="3" t="inlineStr">
        <is>
          <t>Não confundir com Consul + mesa de vidro.</t>
        </is>
      </c>
    </row>
    <row r="7">
      <c r="A7" s="2" t="n">
        <v>6</v>
      </c>
      <c r="B7" s="3" t="inlineStr">
        <is>
          <t>Fogão Consul mesa de vidro</t>
        </is>
      </c>
      <c r="C7" s="3" t="inlineStr">
        <is>
          <t>fogao consul mesa de vidro</t>
        </is>
      </c>
      <c r="D7" s="3" t="n"/>
      <c r="E7" s="3" t="inlineStr">
        <is>
          <t>Investigação comercial</t>
        </is>
      </c>
      <c r="F7" s="2" t="n">
        <v>2400</v>
      </c>
      <c r="G7" s="2" t="n">
        <v>24</v>
      </c>
      <c r="H7" s="3" t="inlineStr">
        <is>
          <t>/review-fogao-mesa-de-vidro-consul/</t>
        </is>
      </c>
      <c r="I7" s="3" t="inlineStr">
        <is>
          <t>/review-fogao-mesa-de-vidro-consul/</t>
        </is>
      </c>
      <c r="J7" s="3" t="inlineStr">
        <is>
          <t>Otimizar</t>
        </is>
      </c>
      <c r="K7" s="3" t="inlineStr">
        <is>
          <t>Alta</t>
        </is>
      </c>
      <c r="L7" s="3" t="inlineStr">
        <is>
          <t>Alterado / monitorando</t>
        </is>
      </c>
      <c r="M7" s="4" t="n">
        <v>46267</v>
      </c>
      <c r="N7" s="3" t="inlineStr">
        <is>
          <t>SEO on-page</t>
        </is>
      </c>
      <c r="O7" s="4">
        <f>IF([@[Última alteração]]="","",[@[Última alteração]]+28)</f>
        <v/>
      </c>
      <c r="P7" s="3" t="inlineStr">
        <is>
          <t>Alteração realizada</t>
        </is>
      </c>
      <c r="Q7" s="2" t="n">
        <v>24</v>
      </c>
      <c r="R7" s="3">
        <f>IF(OR([@[Posição atual]]="",[@[Posição anterior]]=""),"",[@[Posição anterior]]-[@[Posição atual]])</f>
        <v/>
      </c>
      <c r="S7" s="3" t="inlineStr">
        <is>
          <t>Aguardar indexação antes de nova intervenção.</t>
        </is>
      </c>
    </row>
    <row r="8">
      <c r="A8" s="2" t="n">
        <v>7</v>
      </c>
      <c r="B8" s="3" t="inlineStr">
        <is>
          <t>Fogão com mesa de vidro</t>
        </is>
      </c>
      <c r="C8" s="3" t="inlineStr">
        <is>
          <t>fogao com mesa de vidro</t>
        </is>
      </c>
      <c r="D8" s="3" t="n"/>
      <c r="E8" s="3" t="inlineStr">
        <is>
          <t>Investigação comercial</t>
        </is>
      </c>
      <c r="F8" s="3" t="n"/>
      <c r="G8" s="3" t="n"/>
      <c r="H8" s="3" t="inlineStr">
        <is>
          <t>/review-fogao-mesa-de-vidro-consul/</t>
        </is>
      </c>
      <c r="I8" s="3" t="inlineStr">
        <is>
          <t>/melhores-fogoes-mesa-de-vidro/</t>
        </is>
      </c>
      <c r="J8" s="3" t="inlineStr">
        <is>
          <t>Mapear</t>
        </is>
      </c>
      <c r="K8" s="3" t="inlineStr">
        <is>
          <t>Alta</t>
        </is>
      </c>
      <c r="L8" s="3" t="inlineStr">
        <is>
          <t>Mapeado</t>
        </is>
      </c>
      <c r="M8" s="3" t="n"/>
      <c r="N8" s="3" t="n"/>
      <c r="O8" s="4">
        <f>IF([@[Última alteração]]="","",[@[Última alteração]]+28)</f>
        <v/>
      </c>
      <c r="P8" s="3" t="n"/>
      <c r="Q8" s="3" t="n"/>
      <c r="R8" s="3">
        <f>IF(OR([@[Posição atual]]="",[@[Posição anterior]]=""),"",[@[Posição anterior]]-[@[Posição atual]])</f>
        <v/>
      </c>
      <c r="S8" s="3" t="inlineStr">
        <is>
          <t>Intenção genérica deve pertencer ao hub.</t>
        </is>
      </c>
    </row>
    <row r="9">
      <c r="A9" s="2" t="n">
        <v>8</v>
      </c>
      <c r="B9" s="3" t="inlineStr">
        <is>
          <t>Mesa de vidro ou inox</t>
        </is>
      </c>
      <c r="C9" s="3" t="inlineStr">
        <is>
          <t>fogão com mesa de vidro ou inox</t>
        </is>
      </c>
      <c r="D9" s="3" t="n"/>
      <c r="E9" s="3" t="inlineStr">
        <is>
          <t>Informacional / comparação</t>
        </is>
      </c>
      <c r="F9" s="3" t="n"/>
      <c r="G9" s="3" t="n"/>
      <c r="H9" s="3" t="n"/>
      <c r="I9" s="3" t="inlineStr">
        <is>
          <t>/melhores-fogoes-mesa-de-vidro/</t>
        </is>
      </c>
      <c r="J9" s="3" t="inlineStr">
        <is>
          <t>Otimizar</t>
        </is>
      </c>
      <c r="K9" s="3" t="inlineStr">
        <is>
          <t>Média</t>
        </is>
      </c>
      <c r="L9" s="3" t="inlineStr">
        <is>
          <t>Alterado / monitorando</t>
        </is>
      </c>
      <c r="M9" s="7" t="n">
        <v>46268</v>
      </c>
      <c r="N9" s="3" t="inlineStr">
        <is>
          <t>SEO on-page — Etapa 1</t>
        </is>
      </c>
      <c r="O9" s="4">
        <f>IF([@[Última alteração]]="","",[@[Última alteração]]+28)</f>
        <v/>
      </c>
      <c r="P9" s="3" t="inlineStr">
        <is>
          <t>Alteração realizada</t>
        </is>
      </c>
      <c r="Q9" s="3" t="n"/>
      <c r="R9" s="3">
        <f>IF(OR([@[Posição atual]]="",[@[Posição anterior]]=""),"",[@[Posição anterior]]-[@[Posição atual]])</f>
        <v/>
      </c>
      <c r="S9" s="3" t="inlineStr">
        <is>
          <t>Etapa 1 — alterados somente title e meta description para consolidar a intenção "fogão com mesa de vidro ou inox". Blog /blog/fogao-mesa-de-vidro-ou-inox/ permanece URL dona da comparação vidro × inox; hub /melhores/melhor-fogao-mesa-de-vidro/ permanece dono de “melhor fogão mesa de vidro”. Aguardar recrawl/GSC antes de nova intervenção.</t>
        </is>
      </c>
    </row>
    <row r="10">
      <c r="A10" s="2" t="n">
        <v>9</v>
      </c>
      <c r="B10" s="3" t="inlineStr">
        <is>
          <t>Fogão 4 bocas custo-benefício</t>
        </is>
      </c>
      <c r="C10" s="3" t="inlineStr">
        <is>
          <t>fogão 4 bocas custo benefício</t>
        </is>
      </c>
      <c r="D10" s="3" t="n"/>
      <c r="E10" s="3" t="inlineStr">
        <is>
          <t>Investigação comercial</t>
        </is>
      </c>
      <c r="F10" s="2" t="n">
        <v>90</v>
      </c>
      <c r="G10" s="2" t="n">
        <v>46</v>
      </c>
      <c r="H10" s="3" t="inlineStr">
        <is>
          <t>/fogao-4-bocas-custo-beneficio/</t>
        </is>
      </c>
      <c r="I10" s="3" t="inlineStr">
        <is>
          <t>/fogao-4-bocas-custo-beneficio/</t>
        </is>
      </c>
      <c r="J10" s="3" t="inlineStr">
        <is>
          <t>Acompanhar</t>
        </is>
      </c>
      <c r="K10" s="3" t="inlineStr">
        <is>
          <t>Média</t>
        </is>
      </c>
      <c r="L10" s="3" t="inlineStr">
        <is>
          <t>Alterado / monitorando</t>
        </is>
      </c>
      <c r="M10" s="4" t="n">
        <v>46268</v>
      </c>
      <c r="N10" s="3" t="inlineStr">
        <is>
          <t>SEO on-page — Etapa 2</t>
        </is>
      </c>
      <c r="O10" s="4">
        <f>IF([@[Última alteração]]="","",[@[Última alteração]]+28)</f>
        <v/>
      </c>
      <c r="P10" s="3" t="inlineStr">
        <is>
          <t>Alteração realizada</t>
        </is>
      </c>
      <c r="Q10" s="2" t="n">
        <v>46</v>
      </c>
      <c r="R10" s="3">
        <f>IF(OR([@[Posição atual]]="",[@[Posição anterior]]=""),"",[@[Posição anterior]]-[@[Posição atual]])</f>
        <v/>
      </c>
      <c r="S10" s="3" t="inlineStr">
        <is>
          <t>Etapa 2: FAQ visível + FAQPage sobre custo-benefício. Title/H1/meta/canonical preservados. Não altera ownership do hub melhor fogão 4 bocas. Aguardar GSC.</t>
        </is>
      </c>
    </row>
    <row r="11">
      <c r="A11" s="2" t="n">
        <v>10</v>
      </c>
      <c r="B11" s="3" t="inlineStr">
        <is>
          <t>Modelo BFS5NCR</t>
        </is>
      </c>
      <c r="C11" s="3" t="inlineStr">
        <is>
          <t>bfs5ncr</t>
        </is>
      </c>
      <c r="D11" s="3" t="n"/>
      <c r="E11" s="3" t="inlineStr">
        <is>
          <t>Navegacional</t>
        </is>
      </c>
      <c r="F11" s="2" t="n">
        <v>390</v>
      </c>
      <c r="G11" s="2" t="n">
        <v>35</v>
      </c>
      <c r="H11" s="3" t="inlineStr">
        <is>
          <t>/</t>
        </is>
      </c>
      <c r="I11" s="3" t="n"/>
      <c r="J11" s="3" t="inlineStr">
        <is>
          <t>Mapear</t>
        </is>
      </c>
      <c r="K11" s="3" t="inlineStr">
        <is>
          <t>Baixa</t>
        </is>
      </c>
      <c r="L11" s="3" t="inlineStr">
        <is>
          <t>Mapeado</t>
        </is>
      </c>
      <c r="M11" s="3" t="n"/>
      <c r="N11" s="3" t="n"/>
      <c r="O11" s="4">
        <f>IF([@[Última alteração]]="","",[@[Última alteração]]+28)</f>
        <v/>
      </c>
      <c r="P11" s="3" t="n"/>
      <c r="Q11" s="3" t="n"/>
      <c r="R11" s="3">
        <f>IF(OR([@[Posição atual]]="",[@[Posição anterior]]=""),"",[@[Posição anterior]]-[@[Posição atual]])</f>
        <v/>
      </c>
      <c r="S11" s="3" t="inlineStr">
        <is>
          <t>Busca por código de modelo/SKU.</t>
        </is>
      </c>
    </row>
    <row r="12">
      <c r="A12" s="2" t="n">
        <v>11</v>
      </c>
      <c r="B12" s="3" t="inlineStr">
        <is>
          <t>Comparativo de eletrodomésticos</t>
        </is>
      </c>
      <c r="C12" s="3" t="inlineStr">
        <is>
          <t>comparativo de eletrodomésticos</t>
        </is>
      </c>
      <c r="D12" s="3" t="n"/>
      <c r="E12" s="3" t="inlineStr">
        <is>
          <t>Informacional / comparação</t>
        </is>
      </c>
      <c r="F12" s="2" t="n">
        <v>170</v>
      </c>
      <c r="G12" s="2" t="n">
        <v>42</v>
      </c>
      <c r="H12" s="3" t="inlineStr">
        <is>
          <t>/</t>
        </is>
      </c>
      <c r="I12" s="3" t="n"/>
      <c r="J12" s="3" t="inlineStr">
        <is>
          <t>Avaliar</t>
        </is>
      </c>
      <c r="K12" s="3" t="inlineStr">
        <is>
          <t>Baixa</t>
        </is>
      </c>
      <c r="L12" s="3" t="inlineStr">
        <is>
          <t>Mapeado</t>
        </is>
      </c>
      <c r="M12" s="3" t="n"/>
      <c r="N12" s="3" t="n"/>
      <c r="O12" s="4">
        <f>IF([@[Última alteração]]="","",[@[Última alteração]]+28)</f>
        <v/>
      </c>
      <c r="P12" s="3" t="n"/>
      <c r="Q12" s="3" t="n"/>
      <c r="R12" s="3">
        <f>IF(OR([@[Posição atual]]="",[@[Posição anterior]]=""),"",[@[Posição anterior]]-[@[Posição atual]])</f>
        <v/>
      </c>
      <c r="S12" s="3" t="inlineStr">
        <is>
          <t>Consulta genérica; não atribuir automaticamente ao silo de fogões.</t>
        </is>
      </c>
    </row>
    <row r="13">
      <c r="A13" s="2" t="n">
        <v>12</v>
      </c>
      <c r="B13" s="3" t="inlineStr">
        <is>
          <t>Eletrodoméstico com melhor avaliação</t>
        </is>
      </c>
      <c r="C13" s="3" t="inlineStr">
        <is>
          <t>eletrodoméstico com melhor avaliação</t>
        </is>
      </c>
      <c r="D13" s="3" t="n"/>
      <c r="E13" s="3" t="inlineStr">
        <is>
          <t>Investigação comercial</t>
        </is>
      </c>
      <c r="F13" s="2" t="n">
        <v>140</v>
      </c>
      <c r="G13" s="2" t="n">
        <v>39</v>
      </c>
      <c r="H13" s="3" t="inlineStr">
        <is>
          <t>/</t>
        </is>
      </c>
      <c r="I13" s="3" t="n"/>
      <c r="J13" s="3" t="inlineStr">
        <is>
          <t>Avaliar</t>
        </is>
      </c>
      <c r="K13" s="3" t="inlineStr">
        <is>
          <t>Baixa</t>
        </is>
      </c>
      <c r="L13" s="3" t="inlineStr">
        <is>
          <t>Mapeado</t>
        </is>
      </c>
      <c r="M13" s="3" t="n"/>
      <c r="N13" s="3" t="n"/>
      <c r="O13" s="4">
        <f>IF([@[Última alteração]]="","",[@[Última alteração]]+28)</f>
        <v/>
      </c>
      <c r="P13" s="3" t="n"/>
      <c r="Q13" s="3" t="n"/>
      <c r="R13" s="3">
        <f>IF(OR([@[Posição atual]]="",[@[Posição anterior]]=""),"",[@[Posição anterior]]-[@[Posição atual]])</f>
        <v/>
      </c>
      <c r="S13" s="3" t="inlineStr">
        <is>
          <t>Consulta ampla; precisa de contexto.</t>
        </is>
      </c>
    </row>
    <row r="14">
      <c r="A14" s="2" t="n">
        <v>13</v>
      </c>
      <c r="B14" s="3" t="inlineStr">
        <is>
          <t>Segurança / risco — mesa de vidro</t>
        </is>
      </c>
      <c r="C14" s="3" t="inlineStr">
        <is>
          <t>fogão com mesa de vidro é perigoso</t>
        </is>
      </c>
      <c r="D14" s="3" t="inlineStr">
        <is>
          <t>fogão com mesa de vidro é seguro?; pode estourar</t>
        </is>
      </c>
      <c r="E14" s="3" t="inlineStr">
        <is>
          <t>Informacional</t>
        </is>
      </c>
      <c r="F14" s="2" t="n">
        <v>110</v>
      </c>
      <c r="G14" s="2" t="n">
        <v>13</v>
      </c>
      <c r="H14" s="3" t="inlineStr">
        <is>
          <t>/blog/fogao-mesa-de-vidro-seguro/</t>
        </is>
      </c>
      <c r="I14" s="3" t="inlineStr">
        <is>
          <t>/blog/fogao-mesa-de-vidro-seguro/</t>
        </is>
      </c>
      <c r="J14" s="3" t="inlineStr">
        <is>
          <t>Otimizar</t>
        </is>
      </c>
      <c r="K14" s="3" t="inlineStr">
        <is>
          <t>Alta</t>
        </is>
      </c>
      <c r="L14" s="3" t="inlineStr">
        <is>
          <t>Alterado / monitorando</t>
        </is>
      </c>
      <c r="M14" s="7" t="n">
        <v>46268</v>
      </c>
      <c r="N14" s="3" t="inlineStr">
        <is>
          <t>SEO on-page — Etapa 1</t>
        </is>
      </c>
      <c r="O14" s="4">
        <f>IF([@[Última alteração]]="","",[@[Última alteração]]+28)</f>
        <v/>
      </c>
      <c r="P14" s="3" t="inlineStr">
        <is>
          <t>Alteração realizada</t>
        </is>
      </c>
      <c r="Q14" s="3" t="n">
        <v>13</v>
      </c>
      <c r="R14" s="3">
        <f>IF(OR([@[Posição atual]]="",[@[Posição anterior]]=""),"",[@[Posição anterior]]-[@[Posição atual]])</f>
        <v/>
      </c>
      <c r="S14" s="3" t="inlineStr">
        <is>
          <t>Etapa 1 executada somente em title e meta description para consolidar a intenção de segurança/risco (“é perigoso”). Página já existente e dona da intenção. Comparativo vidro × inox permanece separado como intenção de comparação; hub mesa de vidro permanece dono do ranking. Aguardar recrawl/GSC antes de nova intervenção.</t>
        </is>
      </c>
    </row>
  </sheetData>
  <conditionalFormatting sqref="O2:O5000">
    <cfRule type="expression" priority="1" dxfId="0">
      <formula>AND($O2&lt;&gt;"",$O2&lt;=TODAY(),$L2&lt;&gt;"Concluído")</formula>
    </cfRule>
    <cfRule type="expression" priority="2" dxfId="1">
      <formula>AND($O2&lt;&gt;"",$O2&gt;TODAY(),$O2&lt;=TODAY()+7,$L2&lt;&gt;"Concluído")</formula>
    </cfRule>
  </conditionalFormatting>
  <dataValidations count="3">
    <dataValidation sqref="J2:J5000" showDropDown="0" showInputMessage="0" showErrorMessage="0" allowBlank="1" type="list">
      <formula1>"Criar página,Otimizar,Acompanhar,Avaliar,Mapear,Consolidar,Não fazer"</formula1>
    </dataValidation>
    <dataValidation sqref="K2:K5000" showDropDown="0" showInputMessage="0" showErrorMessage="0" allowBlank="1" type="list">
      <formula1>"Alta,Média,Baixa"</formula1>
    </dataValidation>
    <dataValidation sqref="L2:L5000" showDropDown="0" showInputMessage="0" showErrorMessage="0" allowBlank="1" type="list">
      <formula1>"Mapeado,Planejado,Alterado / monitorando,Em monitoramento,Concluído,Arquivado"</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36" customWidth="1" min="3" max="3"/>
    <col width="12" customWidth="1" min="4" max="4"/>
    <col width="10" customWidth="1" min="5" max="5"/>
    <col width="8" customWidth="1" min="6" max="6"/>
    <col width="22" customWidth="1" min="7" max="7"/>
    <col width="42" customWidth="1" min="8" max="8"/>
    <col width="22" customWidth="1" min="9" max="9"/>
    <col width="55" customWidth="1" min="10" max="10"/>
  </cols>
  <sheetData>
    <row r="1" ht="22" customHeight="1">
      <c r="A1" s="1" t="inlineStr">
        <is>
          <t>ID do lote</t>
        </is>
      </c>
      <c r="B1" s="1" t="inlineStr">
        <is>
          <t>Data da exportação</t>
        </is>
      </c>
      <c r="C1" s="1" t="inlineStr">
        <is>
          <t>Keyword</t>
        </is>
      </c>
      <c r="D1" s="1" t="inlineStr">
        <is>
          <t>Posição</t>
        </is>
      </c>
      <c r="E1" s="1" t="inlineStr">
        <is>
          <t>Volume</t>
        </is>
      </c>
      <c r="F1" s="1" t="inlineStr">
        <is>
          <t>KD</t>
        </is>
      </c>
      <c r="G1" s="1" t="inlineStr">
        <is>
          <t>Intenção</t>
        </is>
      </c>
      <c r="H1" s="1" t="inlineStr">
        <is>
          <t>URL encontrada pelo Semrush</t>
        </is>
      </c>
      <c r="I1" s="1" t="inlineStr">
        <is>
          <t>SERP Features</t>
        </is>
      </c>
      <c r="J1" s="1" t="inlineStr">
        <is>
          <t>Observações</t>
        </is>
      </c>
    </row>
    <row r="2">
      <c r="A2" s="3" t="inlineStr">
        <is>
          <t>SM-2026-09-01</t>
        </is>
      </c>
      <c r="B2" s="4" t="n">
        <v>46266</v>
      </c>
      <c r="C2" s="3" t="n"/>
      <c r="D2" s="3" t="n"/>
      <c r="E2" s="3" t="n"/>
      <c r="F2" s="3" t="n"/>
      <c r="G2" s="3" t="n"/>
      <c r="H2" s="3" t="n"/>
      <c r="I2" s="3" t="n"/>
      <c r="J2" s="3" t="inlineStr">
        <is>
          <t>Cole novas exportações abaixo; não sobrescreva entradas antigas.</t>
        </is>
      </c>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36" customWidth="1" min="3" max="3"/>
    <col width="42" customWidth="1" min="4" max="4"/>
    <col width="18" customWidth="1" min="5" max="5"/>
    <col width="12" customWidth="1" min="6" max="6"/>
    <col width="22" customWidth="1" min="7" max="7"/>
    <col width="55" customWidth="1" min="9" max="9"/>
  </cols>
  <sheetData>
    <row r="1" ht="22" customHeight="1">
      <c r="A1" s="1" t="inlineStr">
        <is>
          <t>Data da revisão</t>
        </is>
      </c>
      <c r="B1" s="1" t="inlineStr">
        <is>
          <t>ID</t>
        </is>
      </c>
      <c r="C1" s="1" t="inlineStr">
        <is>
          <t>Keyword</t>
        </is>
      </c>
      <c r="D1" s="1" t="inlineStr">
        <is>
          <t>URL dona</t>
        </is>
      </c>
      <c r="E1" s="1" t="inlineStr">
        <is>
          <t>Ação</t>
        </is>
      </c>
      <c r="F1" s="1" t="inlineStr">
        <is>
          <t>Prioridade</t>
        </is>
      </c>
      <c r="G1" s="1" t="inlineStr">
        <is>
          <t>Status</t>
        </is>
      </c>
      <c r="I1" s="5" t="inlineStr">
        <is>
          <t>Agenda automática a partir da tabela MasterSEO. Não editar A2:G. Exige Microsoft 365.</t>
        </is>
      </c>
    </row>
    <row r="2">
      <c r="A2" s="4">
        <f>IFERROR(SORT(FILTER(HSTACK(MasterSEO[[Próxima revisão]],MasterSEO[ID],MasterSEO[[Keyword principal]],IF(ISTEXT(MasterSEO[[URL dona / alvo]]),MasterSEO[[URL dona / alvo]],""),MasterSEO[Decisão],MasterSEO[Prioridade],MasterSEO[Status]),MasterSEO[[Próxima revisão]]&lt;&gt;""),1,1),"")</f>
        <v/>
      </c>
      <c r="B2" s="3" t="n"/>
      <c r="C2" s="3" t="n"/>
      <c r="D2" s="3" t="n"/>
      <c r="E2" s="3" t="n"/>
      <c r="F2" s="3" t="n"/>
      <c r="G2" s="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32" customWidth="1" min="3" max="3"/>
    <col width="42" customWidth="1" min="4" max="4"/>
    <col width="26" customWidth="1" min="5" max="5"/>
    <col width="14" customWidth="1" min="6" max="6"/>
    <col width="16" customWidth="1" min="7" max="7"/>
    <col width="55" customWidth="1" min="8" max="8"/>
    <col width="24" customWidth="1" min="9" max="9"/>
    <col width="45" customWidth="1" min="10" max="10"/>
  </cols>
  <sheetData>
    <row r="1" ht="22" customHeight="1">
      <c r="A1" s="1" t="inlineStr">
        <is>
          <t>Data</t>
        </is>
      </c>
      <c r="B1" s="1" t="inlineStr">
        <is>
          <t>ID</t>
        </is>
      </c>
      <c r="C1" s="1" t="inlineStr">
        <is>
          <t>Keyword</t>
        </is>
      </c>
      <c r="D1" s="1" t="inlineStr">
        <is>
          <t>URL</t>
        </is>
      </c>
      <c r="E1" s="1" t="inlineStr">
        <is>
          <t>Evento</t>
        </is>
      </c>
      <c r="F1" s="1" t="inlineStr">
        <is>
          <t>Posição antes</t>
        </is>
      </c>
      <c r="G1" s="1" t="inlineStr">
        <is>
          <t>Posição depois</t>
        </is>
      </c>
      <c r="H1" s="1" t="inlineStr">
        <is>
          <t>Alteração realizada</t>
        </is>
      </c>
      <c r="I1" s="1" t="inlineStr">
        <is>
          <t>Resultado</t>
        </is>
      </c>
      <c r="J1" s="1" t="inlineStr">
        <is>
          <t>Observações</t>
        </is>
      </c>
    </row>
    <row r="2">
      <c r="A2" s="4" t="n">
        <v>46267</v>
      </c>
      <c r="B2" s="2" t="n">
        <v>6</v>
      </c>
      <c r="C2" s="3" t="inlineStr">
        <is>
          <t>fogao consul mesa de vidro</t>
        </is>
      </c>
      <c r="D2" s="3" t="inlineStr">
        <is>
          <t>/review-fogao-mesa-de-vidro-consul/</t>
        </is>
      </c>
      <c r="E2" s="3" t="inlineStr">
        <is>
          <t>Otimização SEO on-page</t>
        </is>
      </c>
      <c r="F2" s="2" t="n">
        <v>24</v>
      </c>
      <c r="G2" s="2" t="n">
        <v>24</v>
      </c>
      <c r="H2" s="3" t="inlineStr">
        <is>
          <t>Meta description, abertura, desambiguação, H2s, tabela, FAQ e veredito</t>
        </is>
      </c>
      <c r="I2" s="3" t="inlineStr">
        <is>
          <t>Aguardando nova medição</t>
        </is>
      </c>
      <c r="J2" s="3" t="inlineStr">
        <is>
          <t>Build aprovado; aguardar indexação.</t>
        </is>
      </c>
    </row>
    <row r="3">
      <c r="A3" s="4" t="n">
        <v>46268</v>
      </c>
      <c r="B3" s="2" t="n">
        <v>1</v>
      </c>
      <c r="C3" s="3" t="inlineStr">
        <is>
          <t>melhor fogao 5 bocas</t>
        </is>
      </c>
      <c r="D3" s="3" t="inlineStr">
        <is>
          <t>/</t>
        </is>
      </c>
      <c r="E3" s="3" t="inlineStr">
        <is>
          <t>SEO on-page — Etapa 1</t>
        </is>
      </c>
      <c r="F3" s="2" t="n">
        <v>62</v>
      </c>
      <c r="G3" s="2" t="n">
        <v>62</v>
      </c>
      <c r="H3" s="3" t="inlineStr">
        <is>
          <t>Title + meta description da Home. Title: Melhores fogões 5 bocas em 2026: ranking atualizado | Casa Prática Eletro. Description: Ranking e recomendação dos melhores fogões 5 bocas em 2026: Electrolux FE5IG, Brastemp BFS5NCR e Consul CFS5NAB. Compare os modelos e decida a compra. OG/Twitter derivados. H1, ranking, CTAs, canonical e redirects preservados. Build 29 páginas, exit 0. Sem commit/push/deploy.</t>
        </is>
      </c>
      <c r="I3" s="3" t="inlineStr">
        <is>
          <t>Aguardando nova medição</t>
        </is>
      </c>
      <c r="J3" s="3" t="inlineStr">
        <is>
          <t>Home consolidada como dona da intenção 'melhor fogão 5 bocas'. Etapa 1 limitada a title + meta description; OG/Twitter derivados. Hub /melhores/melhor-fogao-5-bocas/ permanece 301 → /. Não reabrir o hub por persistência histórica no Semrush. Aguardar recrawl/nova medição antes de nova intervenção.</t>
        </is>
      </c>
    </row>
    <row r="4">
      <c r="A4" s="8" t="n">
        <v>46268</v>
      </c>
      <c r="B4" t="n">
        <v>3</v>
      </c>
      <c r="C4" t="inlineStr">
        <is>
          <t>tamanho fogão 5 bocas</t>
        </is>
      </c>
      <c r="D4" t="inlineStr">
        <is>
          <t>/como-escolher-fogao-5-bocas/</t>
        </is>
      </c>
      <c r="E4" t="inlineStr">
        <is>
          <t>SEO on-page — Etapa 1 + conteúdo</t>
        </is>
      </c>
      <c r="F4" t="n">
        <v>31</v>
      </c>
      <c r="G4" t="n">
        <v>31</v>
      </c>
      <c r="H4" t="inlineStr">
        <is>
          <t>Title ajustado (prioriza tamanho/medidas); meta description com medidas típicas (75-80 cm / 60-70 cm / ~90 cm); resposta direta e tabela inseridas no step 1; orientação sobre conferência de medidas por modelo/instalação; H1 e estrutura preservados; dados reutilizados do blog fogao-5-bocas-reduz-espaco-cozinha. Build 29 págs, exit 0.</t>
        </is>
      </c>
      <c r="I4" t="inlineStr">
        <is>
          <t>Alteração realizada — aguardando nova medição</t>
        </is>
      </c>
      <c r="J4" t="inlineStr">
        <is>
          <t>Variação volume: keyword principal 590 (tamanho fogão 5 bocas) + variação 90 (tamanho do fogão 5 bocas). Próxima revisão: ~01/10/2026. Sem commit/push/deploy.</t>
        </is>
      </c>
    </row>
    <row r="5">
      <c r="A5" s="8" t="n">
        <v>46268</v>
      </c>
      <c r="B5" t="n">
        <v>2</v>
      </c>
      <c r="C5" t="inlineStr">
        <is>
          <t>melhor fogao 5 bocas custo beneficio</t>
        </is>
      </c>
      <c r="D5" t="inlineStr">
        <is>
          <t>/fogao-5-bocas-custo-beneficio/</t>
        </is>
      </c>
      <c r="E5" t="inlineStr">
        <is>
          <t>SEO on-page — Etapa 1</t>
        </is>
      </c>
      <c r="F5" t="n">
        <v>62</v>
      </c>
      <c r="G5" t="n">
        <v>62</v>
      </c>
      <c r="H5" t="inlineStr">
        <is>
          <t>Title e meta description da página otimizados para consolidar a intenção de custo-benefício/preço-performance.</t>
        </is>
      </c>
      <c r="I5" t="inlineStr">
        <is>
          <t>Alteração realizada</t>
        </is>
      </c>
      <c r="J5" t="inlineStr">
        <is>
          <t>Home permanece dona de “melhores fogões 5 bocas”; esta URL permanece dona da intenção específica de custo-benefício. Aguardar recrawl/GSC antes de nova intervenção.</t>
        </is>
      </c>
    </row>
    <row r="6">
      <c r="A6" s="8" t="n">
        <v>46268</v>
      </c>
      <c r="B6" t="n">
        <v>8</v>
      </c>
      <c r="C6" t="inlineStr">
        <is>
          <t>fogão com mesa de vidro ou inox</t>
        </is>
      </c>
      <c r="D6" t="inlineStr">
        <is>
          <t>/blog/fogao-mesa-de-vidro-ou-inox/</t>
        </is>
      </c>
      <c r="E6" t="inlineStr">
        <is>
          <t>SEO on-page — Etapa 1</t>
        </is>
      </c>
      <c r="H6" t="inlineStr">
        <is>
          <t>title e meta description</t>
        </is>
      </c>
      <c r="I6" t="inlineStr">
        <is>
          <t>Alteração realizada</t>
        </is>
      </c>
      <c r="J6" t="inlineStr">
        <is>
          <t>comparação vidro × inox permanece separada do ranking de melhores fogões com mesa de vidro; aguardar recrawl/GSC antes de nova intervenção.</t>
        </is>
      </c>
    </row>
    <row r="7">
      <c r="A7" s="8" t="n">
        <v>46268</v>
      </c>
      <c r="B7" t="n">
        <v>13</v>
      </c>
      <c r="C7" t="inlineStr">
        <is>
          <t>fogão com mesa de vidro é perigoso</t>
        </is>
      </c>
      <c r="D7" t="inlineStr">
        <is>
          <t>/blog/fogao-mesa-de-vidro-seguro/</t>
        </is>
      </c>
      <c r="E7" t="inlineStr">
        <is>
          <t>SEO on-page — Etapa 1</t>
        </is>
      </c>
      <c r="F7" t="n">
        <v>13</v>
      </c>
      <c r="G7" t="n">
        <v>13</v>
      </c>
      <c r="H7" t="inlineStr">
        <is>
          <t>Title + meta description</t>
        </is>
      </c>
      <c r="I7" t="inlineStr">
        <is>
          <t>Alteração realizada</t>
        </is>
      </c>
      <c r="J7" t="inlineStr">
        <is>
          <t>Consolidação da intenção de segurança/risco; comparativo vidro × inox e hub de ranking permanecem com suas respectivas intenções.</t>
        </is>
      </c>
    </row>
    <row r="8">
      <c r="A8" s="9" t="n">
        <v>46268</v>
      </c>
      <c r="B8" t="n">
        <v>9</v>
      </c>
      <c r="C8" t="inlineStr">
        <is>
          <t>fogão 4 bocas custo benefício</t>
        </is>
      </c>
      <c r="D8" t="inlineStr">
        <is>
          <t>/fogao-4-bocas-custo-beneficio/</t>
        </is>
      </c>
      <c r="E8" t="inlineStr">
        <is>
          <t>SEO on-page — Etapa 2</t>
        </is>
      </c>
      <c r="F8" t="n">
        <v>46</v>
      </c>
      <c r="G8" t="n">
        <v>46</v>
      </c>
      <c r="H8" t="inlineStr">
        <is>
          <t>FAQ visível + FAQPage</t>
        </is>
      </c>
      <c r="I8" t="inlineStr">
        <is>
          <t>Alteração realizada</t>
        </is>
      </c>
      <c r="J8" t="inlineStr">
        <is>
          <t>Etapa 2: FAQ visível + FAQPage sobre custo-benefício. Title/H1/meta/canonical preservados. Não altera ownership do hub melhor fogão 4 bocas. Aguardar GSC.</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8" customWidth="1" min="1" max="1"/>
    <col width="110" customWidth="1" min="2" max="2"/>
  </cols>
  <sheetData>
    <row r="1">
      <c r="A1" s="1" t="inlineStr">
        <is>
          <t>OBJETIVO</t>
        </is>
      </c>
      <c r="B1" s="1" t="inlineStr">
        <is>
          <t>Inventário operacional de SEO do Casa Prática Eletro.</t>
        </is>
      </c>
    </row>
    <row r="2">
      <c r="A2" s="6" t="inlineStr">
        <is>
          <t>MASTER SEO</t>
        </is>
      </c>
      <c r="B2" s="3" t="inlineStr">
        <is>
          <t>Estado atual das keywords, URLs, decisões e prioridades.</t>
        </is>
      </c>
    </row>
    <row r="3">
      <c r="A3" s="6" t="inlineStr">
        <is>
          <t>ENTRADAS SEMRUSH</t>
        </is>
      </c>
      <c r="B3" s="3" t="inlineStr">
        <is>
          <t>Local para acrescentar novas exportações sem apagar o histórico.</t>
        </is>
      </c>
    </row>
    <row r="4">
      <c r="A4" s="6" t="inlineStr">
        <is>
          <t>HISTÓRICO</t>
        </is>
      </c>
      <c r="B4" s="3" t="inlineStr">
        <is>
          <t>Registro de alterações, posições antes/depois e resultados.</t>
        </is>
      </c>
    </row>
    <row r="5">
      <c r="A5" s="6" t="inlineStr">
        <is>
          <t>CALENDÁRIO</t>
        </is>
      </c>
      <c r="B5" s="3" t="inlineStr">
        <is>
          <t>Revisões programadas; a próxima revisão é calculada 28 dias após uma alteração.</t>
        </is>
      </c>
    </row>
    <row r="6">
      <c r="A6" s="6" t="inlineStr">
        <is>
          <t>REGRA</t>
        </is>
      </c>
      <c r="B6" s="3" t="inlineStr">
        <is>
          <t>Antes de criar nova página, verificar se uma URL existente pode ser a dona da intenção.</t>
        </is>
      </c>
    </row>
    <row r="7">
      <c r="A7" s="6" t="inlineStr">
        <is>
          <t>FLUXO</t>
        </is>
      </c>
      <c r="B7" s="3" t="inlineStr">
        <is>
          <t>Semrush → Entradas → classificação → Master → ação → Histórico → revisão.</t>
        </is>
      </c>
    </row>
    <row r="8">
      <c r="A8" s="6" t="inlineStr">
        <is>
          <t>CURSOR</t>
        </is>
      </c>
      <c r="B8" s="3" t="inlineStr">
        <is>
          <t>A planilha pode ser colocada no projeto e usada como fonte operacional para análises futuras.</t>
        </is>
      </c>
    </row>
    <row r="9">
      <c r="A9" s="6" t="inlineStr">
        <is>
          <t>DADOS INICIAIS</t>
        </is>
      </c>
      <c r="B9" s="3" t="inlineStr">
        <is>
          <t>São os grupos/intensões já identificados; campos não confirmados permanecem vazios.</t>
        </is>
      </c>
    </row>
    <row r="10">
      <c r="A10" s="6" t="inlineStr">
        <is>
          <t>TABELAS</t>
        </is>
      </c>
      <c r="B10" s="3" t="inlineStr">
        <is>
          <t>MasterSEO, EntradasSemrush e HistoricoAcoes são Tabelas Excel: filtros e fórmulas acompanham novas linhas (Tab na última célula, ou colar imediatamente abaixo).</t>
        </is>
      </c>
    </row>
    <row r="11">
      <c r="A11" s="6" t="inlineStr">
        <is>
          <t>CALENDÁRIO (uso)</t>
        </is>
      </c>
      <c r="B11" s="3" t="inlineStr">
        <is>
          <t>Agenda automática via FILTER. Mostra somente registros do Master com data de próxima revisão. Não editar. URL dona vazia aparece em branco (nunca como 0).</t>
        </is>
      </c>
    </row>
    <row r="12">
      <c r="A12" s="6" t="inlineStr">
        <is>
          <t>POSIÇÕES vs AÇÕES</t>
        </is>
      </c>
      <c r="B12" s="3" t="inlineStr">
        <is>
          <t>Histórico de posições (exportações Semrush) = ENTRADAS SEMRUSH. Histórico de ações SEO = HISTÓRICO. Não misturar nem sobrescrever.</t>
        </is>
      </c>
    </row>
    <row r="13">
      <c r="A13" s="6" t="inlineStr">
        <is>
          <t>COMO IMPORTAR SEMRUSH</t>
        </is>
      </c>
      <c r="B13" s="3" t="inlineStr">
        <is>
          <t>1) Criar um ID de lote novo (SM-AAAA-MM-DD; se houver duas exportações no mesmo dia, SM-AAAA-MM-DD-2). 2) Colar as keywords como NOVAS linhas na tabela EntradasSemrush. 3) Preencher ID do lote, data, keyword, posição, volume, KD, intenção, URL encontrada, SERP Features. 4) Nunca apagar ou sobrescrever lotes anteriores. 5) Depois classificar no MASTER: copiar posição atual para posição anterior e gravar a nova posição.</t>
        </is>
      </c>
    </row>
    <row r="14">
      <c r="A14" s="6" t="inlineStr">
        <is>
          <t>NOVA KEYWORD NO MASTER</t>
        </is>
      </c>
      <c r="B14" s="3" t="inlineStr">
        <is>
          <t>Incluir na tabela MasterSEO (linha nova). Preencher ID sequencial, silo, keyword, intenção, decisão, prioridade e status. Próxima revisão e variação de posição calculam sozinhas. O calendário inclui a linha quando Última alteração for preenchida.</t>
        </is>
      </c>
    </row>
    <row r="15">
      <c r="A15" s="6" t="inlineStr">
        <is>
          <t>URLS</t>
        </is>
      </c>
      <c r="B15" s="3" t="inlineStr">
        <is>
          <t>URL atual = URL encontrada no Semrush/SERP (mesmo se for rota antiga/301). URL dona/alvo = URL dona atual no projeto, quando comprovada. Não sobrescrever a URL encontrada pelo Semrush.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2026-09-03T01:53:13Z</dcterms:created>
  <dcterms:modified xsi:type="dcterms:W3CDTF">2026-09-03T22:30:54Z</dcterms:modified>
</cp:coreProperties>
</file>